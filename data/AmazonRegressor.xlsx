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https://purolator-my.sharepoint.com/personal/ayanna_beriault_purolator_com/Documents/Desktop/21. OH Forecast/"/>
    </mc:Choice>
  </mc:AlternateContent>
  <xr:revisionPtr revIDLastSave="0" documentId="8_{E68E6AA5-DF50-41D6-8434-BEDE59940A1D}" xr6:coauthVersionLast="47" xr6:coauthVersionMax="47" xr10:uidLastSave="{00000000-0000-0000-0000-000000000000}"/>
  <bookViews>
    <workbookView xWindow="-28920" yWindow="735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2" i="1" l="1"/>
  <c r="D476" i="1" l="1"/>
  <c r="D477" i="1" l="1"/>
  <c r="D478" i="1"/>
  <c r="D479" i="1"/>
  <c r="D470" i="1"/>
  <c r="D469" i="1"/>
  <c r="D464" i="1"/>
  <c r="D459" i="1" l="1"/>
  <c r="D457" i="1"/>
  <c r="D453" i="1"/>
  <c r="D449" i="1"/>
  <c r="D447" i="1" l="1"/>
  <c r="D444" i="1"/>
  <c r="D438" i="1"/>
  <c r="D433" i="1"/>
  <c r="D432" i="1"/>
  <c r="D434" i="1"/>
  <c r="D435" i="1"/>
  <c r="D436" i="1"/>
  <c r="D437" i="1"/>
  <c r="D439" i="1"/>
  <c r="D440" i="1"/>
  <c r="D441" i="1"/>
  <c r="D425" i="1" l="1"/>
  <c r="D427" i="1" l="1"/>
  <c r="D428" i="1"/>
  <c r="D429" i="1"/>
  <c r="D521" i="1" l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1" i="1"/>
  <c r="D480" i="1"/>
  <c r="D475" i="1"/>
  <c r="D474" i="1"/>
  <c r="D473" i="1"/>
  <c r="D472" i="1"/>
  <c r="D471" i="1"/>
  <c r="D418" i="1"/>
  <c r="D411" i="1"/>
  <c r="D407" i="1" l="1"/>
  <c r="D405" i="1" l="1"/>
  <c r="D401" i="1"/>
  <c r="D397" i="1" l="1"/>
  <c r="D398" i="1" l="1"/>
  <c r="D399" i="1"/>
  <c r="D400" i="1"/>
  <c r="D402" i="1"/>
  <c r="D403" i="1"/>
  <c r="D404" i="1"/>
  <c r="D406" i="1"/>
  <c r="D392" i="1"/>
  <c r="J361" i="1" l="1"/>
  <c r="D386" i="1"/>
  <c r="D420" i="1"/>
  <c r="D421" i="1"/>
  <c r="D422" i="1"/>
  <c r="D423" i="1"/>
  <c r="D424" i="1"/>
  <c r="D426" i="1"/>
  <c r="D430" i="1"/>
  <c r="D431" i="1"/>
  <c r="D442" i="1"/>
  <c r="D443" i="1"/>
  <c r="D445" i="1"/>
  <c r="D446" i="1"/>
  <c r="D448" i="1"/>
  <c r="D450" i="1"/>
  <c r="D451" i="1"/>
  <c r="D452" i="1"/>
  <c r="D454" i="1"/>
  <c r="D455" i="1"/>
  <c r="D456" i="1"/>
  <c r="D458" i="1"/>
  <c r="D460" i="1"/>
  <c r="D461" i="1"/>
  <c r="D462" i="1"/>
  <c r="D463" i="1"/>
  <c r="D465" i="1"/>
  <c r="D466" i="1"/>
  <c r="D467" i="1"/>
  <c r="D468" i="1"/>
  <c r="D419" i="1"/>
  <c r="D378" i="1"/>
  <c r="D373" i="1"/>
  <c r="D366" i="1"/>
  <c r="D365" i="1" l="1"/>
  <c r="D367" i="1"/>
  <c r="D362" i="1"/>
  <c r="D354" i="1" l="1"/>
  <c r="D353" i="1"/>
  <c r="D352" i="1"/>
  <c r="D349" i="1"/>
  <c r="D345" i="1"/>
  <c r="D340" i="1" l="1"/>
  <c r="D368" i="1"/>
  <c r="D369" i="1"/>
  <c r="D370" i="1"/>
  <c r="D371" i="1"/>
  <c r="D372" i="1"/>
  <c r="D374" i="1"/>
  <c r="D375" i="1"/>
  <c r="D376" i="1"/>
  <c r="D377" i="1"/>
  <c r="D379" i="1"/>
  <c r="D380" i="1"/>
  <c r="D381" i="1"/>
  <c r="D382" i="1"/>
  <c r="D383" i="1"/>
  <c r="D384" i="1"/>
  <c r="D385" i="1"/>
  <c r="D387" i="1"/>
  <c r="D388" i="1"/>
  <c r="D389" i="1"/>
  <c r="D390" i="1"/>
  <c r="D391" i="1"/>
  <c r="D393" i="1"/>
  <c r="D394" i="1"/>
  <c r="D395" i="1"/>
  <c r="D396" i="1"/>
  <c r="D408" i="1"/>
  <c r="D409" i="1"/>
  <c r="D410" i="1"/>
  <c r="D412" i="1"/>
  <c r="D413" i="1"/>
  <c r="D414" i="1"/>
  <c r="D415" i="1"/>
  <c r="D416" i="1"/>
  <c r="D417" i="1"/>
  <c r="F376" i="1"/>
  <c r="F375" i="1"/>
  <c r="F374" i="1"/>
  <c r="F373" i="1"/>
  <c r="F372" i="1"/>
  <c r="F371" i="1"/>
  <c r="F370" i="1"/>
  <c r="F369" i="1"/>
  <c r="F368" i="1"/>
  <c r="F367" i="1"/>
  <c r="F366" i="1"/>
  <c r="D334" i="1"/>
  <c r="D327" i="1" l="1"/>
  <c r="D321" i="1"/>
  <c r="D314" i="1"/>
  <c r="D313" i="1"/>
  <c r="D315" i="1"/>
  <c r="D316" i="1"/>
  <c r="D311" i="1"/>
  <c r="F313" i="1"/>
  <c r="F312" i="1"/>
  <c r="F311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14" i="1"/>
  <c r="D302" i="1"/>
  <c r="D301" i="1"/>
  <c r="D303" i="1"/>
  <c r="D300" i="1" l="1"/>
  <c r="D297" i="1"/>
  <c r="D292" i="1"/>
  <c r="D287" i="1" l="1"/>
  <c r="D282" i="1" l="1"/>
  <c r="D283" i="1"/>
  <c r="D276" i="1" l="1"/>
  <c r="D269" i="1" l="1"/>
  <c r="D262" i="1" l="1"/>
  <c r="D261" i="1"/>
  <c r="D257" i="1" l="1"/>
  <c r="D258" i="1"/>
  <c r="D259" i="1"/>
  <c r="D256" i="1"/>
  <c r="D250" i="1"/>
  <c r="D248" i="1" l="1"/>
  <c r="D245" i="1" l="1"/>
  <c r="D246" i="1"/>
  <c r="D240" i="1" l="1"/>
  <c r="D237" i="1"/>
  <c r="F310" i="1" l="1"/>
  <c r="F309" i="1"/>
  <c r="D266" i="1"/>
  <c r="F266" i="1"/>
  <c r="D267" i="1"/>
  <c r="F267" i="1"/>
  <c r="D268" i="1"/>
  <c r="F268" i="1"/>
  <c r="F269" i="1"/>
  <c r="D270" i="1"/>
  <c r="F270" i="1"/>
  <c r="D271" i="1"/>
  <c r="F271" i="1"/>
  <c r="D272" i="1"/>
  <c r="F272" i="1"/>
  <c r="D273" i="1"/>
  <c r="F273" i="1"/>
  <c r="D274" i="1"/>
  <c r="F274" i="1"/>
  <c r="D275" i="1"/>
  <c r="F275" i="1"/>
  <c r="F276" i="1"/>
  <c r="D277" i="1"/>
  <c r="F277" i="1"/>
  <c r="D278" i="1"/>
  <c r="F278" i="1"/>
  <c r="D279" i="1"/>
  <c r="F279" i="1"/>
  <c r="D280" i="1"/>
  <c r="F280" i="1"/>
  <c r="D281" i="1"/>
  <c r="F281" i="1"/>
  <c r="F282" i="1"/>
  <c r="F283" i="1"/>
  <c r="D284" i="1"/>
  <c r="F284" i="1"/>
  <c r="D285" i="1"/>
  <c r="F285" i="1"/>
  <c r="D286" i="1"/>
  <c r="F286" i="1"/>
  <c r="F287" i="1"/>
  <c r="D288" i="1"/>
  <c r="F288" i="1"/>
  <c r="D289" i="1"/>
  <c r="F289" i="1"/>
  <c r="D290" i="1"/>
  <c r="F290" i="1"/>
  <c r="D291" i="1"/>
  <c r="F291" i="1"/>
  <c r="F292" i="1"/>
  <c r="D293" i="1"/>
  <c r="F293" i="1"/>
  <c r="D294" i="1"/>
  <c r="F294" i="1"/>
  <c r="D295" i="1"/>
  <c r="F295" i="1"/>
  <c r="D296" i="1"/>
  <c r="F296" i="1"/>
  <c r="F297" i="1"/>
  <c r="D298" i="1"/>
  <c r="F298" i="1"/>
  <c r="D299" i="1"/>
  <c r="F299" i="1"/>
  <c r="F300" i="1"/>
  <c r="F301" i="1"/>
  <c r="F302" i="1"/>
  <c r="F303" i="1"/>
  <c r="F304" i="1"/>
  <c r="F305" i="1"/>
  <c r="F306" i="1"/>
  <c r="F307" i="1"/>
  <c r="F308" i="1"/>
  <c r="D317" i="1"/>
  <c r="D318" i="1"/>
  <c r="D319" i="1"/>
  <c r="D320" i="1"/>
  <c r="D322" i="1"/>
  <c r="D323" i="1"/>
  <c r="D324" i="1"/>
  <c r="D325" i="1"/>
  <c r="D326" i="1"/>
  <c r="D328" i="1"/>
  <c r="D329" i="1"/>
  <c r="D330" i="1"/>
  <c r="D331" i="1"/>
  <c r="D332" i="1"/>
  <c r="D333" i="1"/>
  <c r="D335" i="1"/>
  <c r="D336" i="1"/>
  <c r="D337" i="1"/>
  <c r="D338" i="1"/>
  <c r="D339" i="1"/>
  <c r="D341" i="1"/>
  <c r="D342" i="1"/>
  <c r="D343" i="1"/>
  <c r="D344" i="1"/>
  <c r="D346" i="1"/>
  <c r="D347" i="1"/>
  <c r="D348" i="1"/>
  <c r="D350" i="1"/>
  <c r="D351" i="1"/>
  <c r="D355" i="1"/>
  <c r="D356" i="1"/>
  <c r="D357" i="1"/>
  <c r="D358" i="1"/>
  <c r="D359" i="1"/>
  <c r="D360" i="1"/>
  <c r="D361" i="1"/>
  <c r="D363" i="1"/>
  <c r="D364" i="1"/>
  <c r="F260" i="1" l="1"/>
  <c r="F261" i="1"/>
  <c r="F262" i="1"/>
  <c r="F263" i="1"/>
  <c r="F264" i="1"/>
  <c r="F265" i="1"/>
  <c r="D235" i="1" l="1"/>
  <c r="D265" i="1" l="1"/>
  <c r="D264" i="1"/>
  <c r="D263" i="1"/>
  <c r="D230" i="1" l="1"/>
  <c r="D234" i="1" l="1"/>
  <c r="D236" i="1"/>
  <c r="D238" i="1"/>
  <c r="D239" i="1"/>
  <c r="D241" i="1"/>
  <c r="D242" i="1"/>
  <c r="D243" i="1"/>
  <c r="D244" i="1"/>
  <c r="D247" i="1"/>
  <c r="D249" i="1"/>
  <c r="D251" i="1"/>
  <c r="D252" i="1"/>
  <c r="D253" i="1"/>
  <c r="D254" i="1"/>
  <c r="D255" i="1"/>
  <c r="D225" i="1"/>
  <c r="D226" i="1"/>
  <c r="D227" i="1"/>
  <c r="D228" i="1"/>
  <c r="D229" i="1"/>
  <c r="D231" i="1"/>
  <c r="D232" i="1"/>
  <c r="D233" i="1"/>
  <c r="D223" i="1"/>
  <c r="D224" i="1"/>
  <c r="D260" i="1" l="1"/>
  <c r="D222" i="1"/>
  <c r="D216" i="1"/>
  <c r="D209" i="1"/>
  <c r="D203" i="1"/>
  <c r="D199" i="1"/>
  <c r="D194" i="1"/>
  <c r="D189" i="1"/>
  <c r="D184" i="1"/>
  <c r="D178" i="1"/>
  <c r="D172" i="1"/>
  <c r="D165" i="1"/>
  <c r="D157" i="1"/>
  <c r="D158" i="1"/>
  <c r="D147" i="1"/>
  <c r="D141" i="1"/>
  <c r="D137" i="1"/>
  <c r="D132" i="1"/>
  <c r="D126" i="1"/>
  <c r="D121" i="1"/>
  <c r="D113" i="1"/>
  <c r="D94" i="1"/>
  <c r="D89" i="1"/>
  <c r="D85" i="1"/>
  <c r="D80" i="1"/>
  <c r="D74" i="1"/>
  <c r="D66" i="1"/>
  <c r="D61" i="1"/>
  <c r="D54" i="1"/>
  <c r="D53" i="1"/>
  <c r="D42" i="1"/>
  <c r="D37" i="1"/>
  <c r="D33" i="1"/>
  <c r="D27" i="1"/>
  <c r="D22" i="1"/>
  <c r="D16" i="1"/>
  <c r="D8" i="1"/>
  <c r="D2" i="1"/>
  <c r="D14" i="1"/>
  <c r="D3" i="1"/>
  <c r="D4" i="1"/>
  <c r="D5" i="1"/>
  <c r="D6" i="1"/>
  <c r="D7" i="1"/>
  <c r="D9" i="1"/>
  <c r="D10" i="1"/>
  <c r="D11" i="1"/>
  <c r="D12" i="1"/>
  <c r="D13" i="1"/>
  <c r="D15" i="1"/>
  <c r="D17" i="1"/>
  <c r="D18" i="1"/>
  <c r="D19" i="1"/>
  <c r="D20" i="1"/>
  <c r="D21" i="1"/>
  <c r="D23" i="1"/>
  <c r="D24" i="1"/>
  <c r="D25" i="1"/>
  <c r="D26" i="1"/>
  <c r="D28" i="1"/>
  <c r="D29" i="1"/>
  <c r="D30" i="1"/>
  <c r="D31" i="1"/>
  <c r="D32" i="1"/>
  <c r="D34" i="1"/>
  <c r="D35" i="1"/>
  <c r="D36" i="1"/>
  <c r="D38" i="1"/>
  <c r="D39" i="1"/>
  <c r="D40" i="1"/>
  <c r="D41" i="1"/>
  <c r="D43" i="1"/>
  <c r="D44" i="1"/>
  <c r="D45" i="1"/>
  <c r="D46" i="1"/>
  <c r="D47" i="1"/>
  <c r="D48" i="1"/>
  <c r="D49" i="1"/>
  <c r="D50" i="1"/>
  <c r="D51" i="1"/>
  <c r="D52" i="1"/>
  <c r="D55" i="1"/>
  <c r="D56" i="1"/>
  <c r="D57" i="1"/>
  <c r="D58" i="1"/>
  <c r="D59" i="1"/>
  <c r="D60" i="1"/>
  <c r="D62" i="1"/>
  <c r="D63" i="1"/>
  <c r="D64" i="1"/>
  <c r="D65" i="1"/>
  <c r="D67" i="1"/>
  <c r="D68" i="1"/>
  <c r="D69" i="1"/>
  <c r="D70" i="1"/>
  <c r="D71" i="1"/>
  <c r="D72" i="1"/>
  <c r="D73" i="1"/>
  <c r="D75" i="1"/>
  <c r="D76" i="1"/>
  <c r="D77" i="1"/>
  <c r="D78" i="1"/>
  <c r="D79" i="1"/>
  <c r="D81" i="1"/>
  <c r="D82" i="1"/>
  <c r="D83" i="1"/>
  <c r="D84" i="1"/>
  <c r="D86" i="1"/>
  <c r="D87" i="1"/>
  <c r="D88" i="1"/>
  <c r="D90" i="1"/>
  <c r="D91" i="1"/>
  <c r="D92" i="1"/>
  <c r="D93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4" i="1"/>
  <c r="D115" i="1"/>
  <c r="D116" i="1"/>
  <c r="D117" i="1"/>
  <c r="D118" i="1"/>
  <c r="D119" i="1"/>
  <c r="D120" i="1"/>
  <c r="D122" i="1"/>
  <c r="D123" i="1"/>
  <c r="D124" i="1"/>
  <c r="D125" i="1"/>
  <c r="D127" i="1"/>
  <c r="D128" i="1"/>
  <c r="D129" i="1"/>
  <c r="D130" i="1"/>
  <c r="D131" i="1"/>
  <c r="D133" i="1"/>
  <c r="D134" i="1"/>
  <c r="D135" i="1"/>
  <c r="D136" i="1"/>
  <c r="D138" i="1"/>
  <c r="D139" i="1"/>
  <c r="D140" i="1"/>
  <c r="D142" i="1"/>
  <c r="D143" i="1"/>
  <c r="D144" i="1"/>
  <c r="D145" i="1"/>
  <c r="D146" i="1"/>
  <c r="D148" i="1"/>
  <c r="D149" i="1"/>
  <c r="D150" i="1"/>
  <c r="D151" i="1"/>
  <c r="D152" i="1"/>
  <c r="D153" i="1"/>
  <c r="D154" i="1"/>
  <c r="D155" i="1"/>
  <c r="D156" i="1"/>
  <c r="D159" i="1"/>
  <c r="D160" i="1"/>
  <c r="D161" i="1"/>
  <c r="D162" i="1"/>
  <c r="D163" i="1"/>
  <c r="D164" i="1"/>
  <c r="D166" i="1"/>
  <c r="D167" i="1"/>
  <c r="D168" i="1"/>
  <c r="D169" i="1"/>
  <c r="D170" i="1"/>
  <c r="D171" i="1"/>
  <c r="D173" i="1"/>
  <c r="D174" i="1"/>
  <c r="D175" i="1"/>
  <c r="D176" i="1"/>
  <c r="D177" i="1"/>
  <c r="D179" i="1"/>
  <c r="D180" i="1"/>
  <c r="D181" i="1"/>
  <c r="D182" i="1"/>
  <c r="D183" i="1"/>
  <c r="D185" i="1"/>
  <c r="D186" i="1"/>
  <c r="D187" i="1"/>
  <c r="D188" i="1"/>
  <c r="D190" i="1"/>
  <c r="D191" i="1"/>
  <c r="D192" i="1"/>
  <c r="D193" i="1"/>
  <c r="D195" i="1"/>
  <c r="D196" i="1"/>
  <c r="D197" i="1"/>
  <c r="D198" i="1"/>
  <c r="D200" i="1"/>
  <c r="D201" i="1"/>
  <c r="D202" i="1"/>
  <c r="D204" i="1"/>
  <c r="D205" i="1"/>
  <c r="D206" i="1"/>
  <c r="D207" i="1"/>
  <c r="D208" i="1"/>
  <c r="D210" i="1"/>
  <c r="D211" i="1"/>
  <c r="D212" i="1"/>
  <c r="D213" i="1"/>
  <c r="D214" i="1"/>
  <c r="D215" i="1"/>
  <c r="D217" i="1"/>
  <c r="D218" i="1"/>
  <c r="D219" i="1"/>
  <c r="D220" i="1"/>
  <c r="D221" i="1"/>
  <c r="D306" i="1" l="1"/>
  <c r="D310" i="1"/>
  <c r="D305" i="1"/>
  <c r="D309" i="1"/>
  <c r="D304" i="1"/>
  <c r="D308" i="1"/>
  <c r="D307" i="1"/>
  <c r="D312" i="1"/>
</calcChain>
</file>

<file path=xl/sharedStrings.xml><?xml version="1.0" encoding="utf-8"?>
<sst xmlns="http://schemas.openxmlformats.org/spreadsheetml/2006/main" count="528" uniqueCount="10">
  <si>
    <t>Year</t>
  </si>
  <si>
    <t>Week</t>
  </si>
  <si>
    <t>AmazonWeekly</t>
  </si>
  <si>
    <t>Amazon</t>
  </si>
  <si>
    <t>Type</t>
  </si>
  <si>
    <t>Tier2_ON</t>
  </si>
  <si>
    <t>Actual</t>
  </si>
  <si>
    <t>Prime</t>
  </si>
  <si>
    <t>`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</si>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</sst>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5" fontId="0" fillId="0" borderId="0" xfId="1" applyNumberFormat="1" applyFont="1"/>
    <xf numFmtId="166" fontId="0" fillId="0" borderId="0" xfId="0" applyNumberFormat="1"/>
    <xf numFmtId="0" fontId="0" fillId="0" borderId="0" xfId="1" applyNumberFormat="1" applyFont="1"/>
    <xf numFmtId="165" fontId="0" fillId="0" borderId="0" xfId="1" applyNumberFormat="1" applyFont="1" applyFill="1"/>
    <xf numFmtId="1" fontId="0" fillId="0" borderId="0" xfId="1" applyNumberFormat="1" applyFont="1"/>
    <xf numFmtId="166" fontId="0" fillId="0" borderId="0" xfId="1" applyNumberFormat="1" applyFont="1" applyFill="1"/>
    <xf numFmtId="3" fontId="0" fillId="0" borderId="0" xfId="1" applyNumberFormat="1" applyFont="1"/>
    <xf numFmtId="165" fontId="2" fillId="0" borderId="0" xfId="1" applyNumberFormat="1" applyFont="1"/>
    <xf numFmtId="0" fontId="0" fillId="0" borderId="0" xfId="1" applyNumberFormat="1" applyFont="1" applyFill="1"/>
    <xf numFmtId="165" fontId="0" fillId="0" borderId="0" xfId="0" applyNumberForma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1"/>
  <sheetViews>
    <sheetView tabSelected="1" workbookViewId="0">
      <pane ySplit="1" topLeftCell="A481" activePane="bottomLeft" state="frozen"/>
      <selection pane="bottomLeft" activeCell="D519" sqref="D519"/>
    </sheetView>
  </sheetViews>
  <sheetFormatPr defaultRowHeight="14.45"/>
  <cols>
    <col min="3" max="3" width="16.42578125" style="1" bestFit="1" customWidth="1"/>
    <col min="4" max="4" width="11.140625" style="1" bestFit="1" customWidth="1"/>
    <col min="6" max="6" width="13" customWidth="1"/>
    <col min="9" max="12" width="11.5703125" bestFit="1" customWidth="1"/>
  </cols>
  <sheetData>
    <row r="1" spans="1:6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>
      <c r="A2">
        <v>2017</v>
      </c>
      <c r="B2">
        <v>1</v>
      </c>
      <c r="C2" s="1">
        <v>152141</v>
      </c>
      <c r="D2" s="1">
        <f>C2/4</f>
        <v>38035.25</v>
      </c>
      <c r="E2" t="s">
        <v>6</v>
      </c>
    </row>
    <row r="3" spans="1:6">
      <c r="A3">
        <v>2017</v>
      </c>
      <c r="B3">
        <v>2</v>
      </c>
      <c r="C3" s="1">
        <v>134301</v>
      </c>
      <c r="D3" s="1">
        <f t="shared" ref="D3:D65" si="0">C3/5</f>
        <v>26860.2</v>
      </c>
      <c r="E3" t="s">
        <v>6</v>
      </c>
    </row>
    <row r="4" spans="1:6">
      <c r="A4">
        <v>2017</v>
      </c>
      <c r="B4">
        <v>3</v>
      </c>
      <c r="C4" s="1">
        <v>119903</v>
      </c>
      <c r="D4" s="1">
        <f t="shared" si="0"/>
        <v>23980.6</v>
      </c>
      <c r="E4" t="s">
        <v>6</v>
      </c>
    </row>
    <row r="5" spans="1:6">
      <c r="A5">
        <v>2017</v>
      </c>
      <c r="B5">
        <v>4</v>
      </c>
      <c r="C5" s="1">
        <v>128884</v>
      </c>
      <c r="D5" s="1">
        <f t="shared" si="0"/>
        <v>25776.799999999999</v>
      </c>
      <c r="E5" t="s">
        <v>6</v>
      </c>
    </row>
    <row r="6" spans="1:6">
      <c r="A6">
        <v>2017</v>
      </c>
      <c r="B6">
        <v>5</v>
      </c>
      <c r="C6" s="1">
        <v>130300</v>
      </c>
      <c r="D6" s="1">
        <f t="shared" si="0"/>
        <v>26060</v>
      </c>
      <c r="E6" t="s">
        <v>6</v>
      </c>
    </row>
    <row r="7" spans="1:6">
      <c r="A7">
        <v>2017</v>
      </c>
      <c r="B7">
        <v>6</v>
      </c>
      <c r="C7" s="1">
        <v>129163</v>
      </c>
      <c r="D7" s="1">
        <f t="shared" si="0"/>
        <v>25832.6</v>
      </c>
      <c r="E7" t="s">
        <v>6</v>
      </c>
    </row>
    <row r="8" spans="1:6">
      <c r="A8">
        <v>2017</v>
      </c>
      <c r="B8">
        <v>7</v>
      </c>
      <c r="C8" s="1">
        <v>144363</v>
      </c>
      <c r="D8" s="1">
        <f>C8/4</f>
        <v>36090.75</v>
      </c>
      <c r="E8" t="s">
        <v>6</v>
      </c>
    </row>
    <row r="9" spans="1:6">
      <c r="A9">
        <v>2017</v>
      </c>
      <c r="B9">
        <v>8</v>
      </c>
      <c r="C9" s="1">
        <v>146145</v>
      </c>
      <c r="D9" s="1">
        <f t="shared" si="0"/>
        <v>29229</v>
      </c>
      <c r="E9" t="s">
        <v>6</v>
      </c>
    </row>
    <row r="10" spans="1:6">
      <c r="A10">
        <v>2017</v>
      </c>
      <c r="B10">
        <v>9</v>
      </c>
      <c r="C10" s="1">
        <v>156369</v>
      </c>
      <c r="D10" s="1">
        <f t="shared" si="0"/>
        <v>31273.8</v>
      </c>
      <c r="E10" t="s">
        <v>6</v>
      </c>
    </row>
    <row r="11" spans="1:6">
      <c r="A11">
        <v>2017</v>
      </c>
      <c r="B11">
        <v>10</v>
      </c>
      <c r="C11" s="1">
        <v>139709</v>
      </c>
      <c r="D11" s="1">
        <f t="shared" si="0"/>
        <v>27941.8</v>
      </c>
      <c r="E11" t="s">
        <v>6</v>
      </c>
    </row>
    <row r="12" spans="1:6">
      <c r="A12">
        <v>2017</v>
      </c>
      <c r="B12">
        <v>11</v>
      </c>
      <c r="C12" s="1">
        <v>151815</v>
      </c>
      <c r="D12" s="1">
        <f t="shared" si="0"/>
        <v>30363</v>
      </c>
      <c r="E12" t="s">
        <v>6</v>
      </c>
    </row>
    <row r="13" spans="1:6">
      <c r="A13">
        <v>2017</v>
      </c>
      <c r="B13">
        <v>12</v>
      </c>
      <c r="C13" s="1">
        <v>125956</v>
      </c>
      <c r="D13" s="1">
        <f t="shared" si="0"/>
        <v>25191.200000000001</v>
      </c>
      <c r="E13" t="s">
        <v>6</v>
      </c>
    </row>
    <row r="14" spans="1:6">
      <c r="A14">
        <v>2017</v>
      </c>
      <c r="B14">
        <v>13</v>
      </c>
      <c r="C14" s="1">
        <v>47475</v>
      </c>
      <c r="D14" s="1">
        <f>C14/4</f>
        <v>11868.75</v>
      </c>
      <c r="E14" t="s">
        <v>6</v>
      </c>
    </row>
    <row r="15" spans="1:6">
      <c r="A15">
        <v>2017</v>
      </c>
      <c r="B15">
        <v>14</v>
      </c>
      <c r="C15" s="1">
        <v>129398</v>
      </c>
      <c r="D15" s="1">
        <f t="shared" si="0"/>
        <v>25879.599999999999</v>
      </c>
      <c r="E15" t="s">
        <v>6</v>
      </c>
    </row>
    <row r="16" spans="1:6">
      <c r="A16">
        <v>2017</v>
      </c>
      <c r="B16">
        <v>15</v>
      </c>
      <c r="C16" s="1">
        <v>135796</v>
      </c>
      <c r="D16" s="1">
        <f>C16/4</f>
        <v>33949</v>
      </c>
      <c r="E16" t="s">
        <v>6</v>
      </c>
    </row>
    <row r="17" spans="1:5">
      <c r="A17">
        <v>2017</v>
      </c>
      <c r="B17">
        <v>16</v>
      </c>
      <c r="C17" s="1">
        <v>169830</v>
      </c>
      <c r="D17" s="1">
        <f t="shared" si="0"/>
        <v>33966</v>
      </c>
      <c r="E17" t="s">
        <v>6</v>
      </c>
    </row>
    <row r="18" spans="1:5">
      <c r="A18">
        <v>2017</v>
      </c>
      <c r="B18">
        <v>17</v>
      </c>
      <c r="C18" s="1">
        <v>162058</v>
      </c>
      <c r="D18" s="1">
        <f t="shared" si="0"/>
        <v>32411.599999999999</v>
      </c>
      <c r="E18" t="s">
        <v>6</v>
      </c>
    </row>
    <row r="19" spans="1:5">
      <c r="A19">
        <v>2017</v>
      </c>
      <c r="B19">
        <v>18</v>
      </c>
      <c r="C19" s="1">
        <v>171709</v>
      </c>
      <c r="D19" s="1">
        <f t="shared" si="0"/>
        <v>34341.800000000003</v>
      </c>
      <c r="E19" t="s">
        <v>6</v>
      </c>
    </row>
    <row r="20" spans="1:5">
      <c r="A20">
        <v>2017</v>
      </c>
      <c r="B20">
        <v>19</v>
      </c>
      <c r="C20" s="1">
        <v>173945</v>
      </c>
      <c r="D20" s="1">
        <f t="shared" si="0"/>
        <v>34789</v>
      </c>
      <c r="E20" t="s">
        <v>6</v>
      </c>
    </row>
    <row r="21" spans="1:5">
      <c r="A21">
        <v>2017</v>
      </c>
      <c r="B21">
        <v>20</v>
      </c>
      <c r="C21" s="1">
        <v>124535</v>
      </c>
      <c r="D21" s="1">
        <f t="shared" si="0"/>
        <v>24907</v>
      </c>
      <c r="E21" t="s">
        <v>6</v>
      </c>
    </row>
    <row r="22" spans="1:5">
      <c r="A22">
        <v>2017</v>
      </c>
      <c r="B22">
        <v>21</v>
      </c>
      <c r="C22" s="1">
        <v>134944</v>
      </c>
      <c r="D22" s="1">
        <f>C22/4</f>
        <v>33736</v>
      </c>
      <c r="E22" t="s">
        <v>6</v>
      </c>
    </row>
    <row r="23" spans="1:5">
      <c r="A23">
        <v>2017</v>
      </c>
      <c r="B23">
        <v>22</v>
      </c>
      <c r="C23" s="1">
        <v>158703</v>
      </c>
      <c r="D23" s="1">
        <f t="shared" si="0"/>
        <v>31740.6</v>
      </c>
      <c r="E23" t="s">
        <v>6</v>
      </c>
    </row>
    <row r="24" spans="1:5">
      <c r="A24">
        <v>2017</v>
      </c>
      <c r="B24">
        <v>23</v>
      </c>
      <c r="C24" s="1">
        <v>157862</v>
      </c>
      <c r="D24" s="1">
        <f t="shared" si="0"/>
        <v>31572.400000000001</v>
      </c>
      <c r="E24" t="s">
        <v>6</v>
      </c>
    </row>
    <row r="25" spans="1:5">
      <c r="A25">
        <v>2017</v>
      </c>
      <c r="B25">
        <v>24</v>
      </c>
      <c r="C25" s="1">
        <v>139282</v>
      </c>
      <c r="D25" s="1">
        <f t="shared" si="0"/>
        <v>27856.400000000001</v>
      </c>
      <c r="E25" t="s">
        <v>6</v>
      </c>
    </row>
    <row r="26" spans="1:5">
      <c r="A26">
        <v>2017</v>
      </c>
      <c r="B26">
        <v>25</v>
      </c>
      <c r="C26" s="1">
        <v>126191</v>
      </c>
      <c r="D26" s="1">
        <f t="shared" si="0"/>
        <v>25238.2</v>
      </c>
      <c r="E26" t="s">
        <v>6</v>
      </c>
    </row>
    <row r="27" spans="1:5">
      <c r="A27">
        <v>2017</v>
      </c>
      <c r="B27">
        <v>26</v>
      </c>
      <c r="C27" s="1">
        <v>125848</v>
      </c>
      <c r="D27" s="1">
        <f>C27/4</f>
        <v>31462</v>
      </c>
      <c r="E27" t="s">
        <v>6</v>
      </c>
    </row>
    <row r="28" spans="1:5">
      <c r="A28">
        <v>2017</v>
      </c>
      <c r="B28">
        <v>27</v>
      </c>
      <c r="C28" s="1">
        <v>129278</v>
      </c>
      <c r="D28" s="1">
        <f t="shared" si="0"/>
        <v>25855.599999999999</v>
      </c>
      <c r="E28" t="s">
        <v>6</v>
      </c>
    </row>
    <row r="29" spans="1:5">
      <c r="A29">
        <v>2017</v>
      </c>
      <c r="B29">
        <v>28</v>
      </c>
      <c r="C29" s="1">
        <v>218586</v>
      </c>
      <c r="D29" s="1">
        <f t="shared" si="0"/>
        <v>43717.2</v>
      </c>
      <c r="E29" t="s">
        <v>6</v>
      </c>
    </row>
    <row r="30" spans="1:5">
      <c r="A30">
        <v>2017</v>
      </c>
      <c r="B30">
        <v>29</v>
      </c>
      <c r="C30" s="1">
        <v>162122</v>
      </c>
      <c r="D30" s="1">
        <f t="shared" si="0"/>
        <v>32424.400000000001</v>
      </c>
      <c r="E30" t="s">
        <v>6</v>
      </c>
    </row>
    <row r="31" spans="1:5">
      <c r="A31">
        <v>2017</v>
      </c>
      <c r="B31">
        <v>30</v>
      </c>
      <c r="C31" s="1">
        <v>143038</v>
      </c>
      <c r="D31" s="1">
        <f t="shared" si="0"/>
        <v>28607.599999999999</v>
      </c>
      <c r="E31" t="s">
        <v>6</v>
      </c>
    </row>
    <row r="32" spans="1:5">
      <c r="A32">
        <v>2017</v>
      </c>
      <c r="B32">
        <v>31</v>
      </c>
      <c r="C32" s="1">
        <v>142519</v>
      </c>
      <c r="D32" s="1">
        <f t="shared" si="0"/>
        <v>28503.8</v>
      </c>
      <c r="E32" t="s">
        <v>6</v>
      </c>
    </row>
    <row r="33" spans="1:5">
      <c r="A33">
        <v>2017</v>
      </c>
      <c r="B33">
        <v>32</v>
      </c>
      <c r="C33" s="1">
        <v>154705</v>
      </c>
      <c r="D33" s="1">
        <f>C33/4</f>
        <v>38676.25</v>
      </c>
      <c r="E33" t="s">
        <v>6</v>
      </c>
    </row>
    <row r="34" spans="1:5">
      <c r="A34">
        <v>2017</v>
      </c>
      <c r="B34">
        <v>33</v>
      </c>
      <c r="C34" s="1">
        <v>185224</v>
      </c>
      <c r="D34" s="1">
        <f t="shared" si="0"/>
        <v>37044.800000000003</v>
      </c>
      <c r="E34" t="s">
        <v>6</v>
      </c>
    </row>
    <row r="35" spans="1:5">
      <c r="A35">
        <v>2017</v>
      </c>
      <c r="B35">
        <v>34</v>
      </c>
      <c r="C35" s="1">
        <v>158943</v>
      </c>
      <c r="D35" s="1">
        <f t="shared" si="0"/>
        <v>31788.6</v>
      </c>
      <c r="E35" t="s">
        <v>6</v>
      </c>
    </row>
    <row r="36" spans="1:5">
      <c r="A36">
        <v>2017</v>
      </c>
      <c r="B36">
        <v>35</v>
      </c>
      <c r="C36" s="1">
        <v>162542</v>
      </c>
      <c r="D36" s="1">
        <f t="shared" si="0"/>
        <v>32508.400000000001</v>
      </c>
      <c r="E36" t="s">
        <v>6</v>
      </c>
    </row>
    <row r="37" spans="1:5">
      <c r="A37">
        <v>2017</v>
      </c>
      <c r="B37">
        <v>36</v>
      </c>
      <c r="C37" s="1">
        <v>170552</v>
      </c>
      <c r="D37" s="1">
        <f>C37/4</f>
        <v>42638</v>
      </c>
      <c r="E37" t="s">
        <v>6</v>
      </c>
    </row>
    <row r="38" spans="1:5">
      <c r="A38">
        <v>2017</v>
      </c>
      <c r="B38">
        <v>37</v>
      </c>
      <c r="C38" s="1">
        <v>217348</v>
      </c>
      <c r="D38" s="1">
        <f t="shared" si="0"/>
        <v>43469.599999999999</v>
      </c>
      <c r="E38" t="s">
        <v>6</v>
      </c>
    </row>
    <row r="39" spans="1:5">
      <c r="A39">
        <v>2017</v>
      </c>
      <c r="B39">
        <v>38</v>
      </c>
      <c r="C39" s="1">
        <v>182625</v>
      </c>
      <c r="D39" s="1">
        <f t="shared" si="0"/>
        <v>36525</v>
      </c>
      <c r="E39" t="s">
        <v>6</v>
      </c>
    </row>
    <row r="40" spans="1:5">
      <c r="A40">
        <v>2017</v>
      </c>
      <c r="B40">
        <v>39</v>
      </c>
      <c r="C40" s="1">
        <v>190632</v>
      </c>
      <c r="D40" s="1">
        <f t="shared" si="0"/>
        <v>38126.400000000001</v>
      </c>
      <c r="E40" t="s">
        <v>6</v>
      </c>
    </row>
    <row r="41" spans="1:5">
      <c r="A41">
        <v>2017</v>
      </c>
      <c r="B41">
        <v>40</v>
      </c>
      <c r="C41" s="1">
        <v>183131</v>
      </c>
      <c r="D41" s="1">
        <f t="shared" si="0"/>
        <v>36626.199999999997</v>
      </c>
      <c r="E41" t="s">
        <v>6</v>
      </c>
    </row>
    <row r="42" spans="1:5">
      <c r="A42">
        <v>2017</v>
      </c>
      <c r="B42">
        <v>41</v>
      </c>
      <c r="C42" s="1">
        <v>181894</v>
      </c>
      <c r="D42" s="1">
        <f>C42/4</f>
        <v>45473.5</v>
      </c>
      <c r="E42" t="s">
        <v>6</v>
      </c>
    </row>
    <row r="43" spans="1:5">
      <c r="A43">
        <v>2017</v>
      </c>
      <c r="B43">
        <v>42</v>
      </c>
      <c r="C43" s="1">
        <v>215216</v>
      </c>
      <c r="D43" s="1">
        <f t="shared" si="0"/>
        <v>43043.199999999997</v>
      </c>
      <c r="E43" t="s">
        <v>6</v>
      </c>
    </row>
    <row r="44" spans="1:5">
      <c r="A44">
        <v>2017</v>
      </c>
      <c r="B44">
        <v>43</v>
      </c>
      <c r="C44" s="1">
        <v>203922</v>
      </c>
      <c r="D44" s="1">
        <f t="shared" si="0"/>
        <v>40784.400000000001</v>
      </c>
      <c r="E44" t="s">
        <v>6</v>
      </c>
    </row>
    <row r="45" spans="1:5">
      <c r="A45">
        <v>2017</v>
      </c>
      <c r="B45">
        <v>44</v>
      </c>
      <c r="C45" s="1">
        <v>204430</v>
      </c>
      <c r="D45" s="1">
        <f t="shared" si="0"/>
        <v>40886</v>
      </c>
      <c r="E45" t="s">
        <v>6</v>
      </c>
    </row>
    <row r="46" spans="1:5">
      <c r="A46">
        <v>2017</v>
      </c>
      <c r="B46">
        <v>45</v>
      </c>
      <c r="C46" s="1">
        <v>218074</v>
      </c>
      <c r="D46" s="1">
        <f t="shared" si="0"/>
        <v>43614.8</v>
      </c>
      <c r="E46" t="s">
        <v>6</v>
      </c>
    </row>
    <row r="47" spans="1:5">
      <c r="A47">
        <v>2017</v>
      </c>
      <c r="B47">
        <v>46</v>
      </c>
      <c r="C47" s="1">
        <v>190803</v>
      </c>
      <c r="D47" s="1">
        <f t="shared" si="0"/>
        <v>38160.6</v>
      </c>
      <c r="E47" t="s">
        <v>6</v>
      </c>
    </row>
    <row r="48" spans="1:5">
      <c r="A48">
        <v>2017</v>
      </c>
      <c r="B48">
        <v>47</v>
      </c>
      <c r="C48" s="1">
        <v>249090</v>
      </c>
      <c r="D48" s="1">
        <f t="shared" si="0"/>
        <v>49818</v>
      </c>
      <c r="E48" t="s">
        <v>6</v>
      </c>
    </row>
    <row r="49" spans="1:5">
      <c r="A49">
        <v>2017</v>
      </c>
      <c r="B49">
        <v>48</v>
      </c>
      <c r="C49" s="1">
        <v>287127</v>
      </c>
      <c r="D49" s="1">
        <f t="shared" si="0"/>
        <v>57425.4</v>
      </c>
      <c r="E49" t="s">
        <v>6</v>
      </c>
    </row>
    <row r="50" spans="1:5">
      <c r="A50">
        <v>2017</v>
      </c>
      <c r="B50">
        <v>49</v>
      </c>
      <c r="C50" s="1">
        <v>283617</v>
      </c>
      <c r="D50" s="1">
        <f t="shared" si="0"/>
        <v>56723.4</v>
      </c>
      <c r="E50" t="s">
        <v>6</v>
      </c>
    </row>
    <row r="51" spans="1:5">
      <c r="A51">
        <v>2017</v>
      </c>
      <c r="B51">
        <v>50</v>
      </c>
      <c r="C51" s="1">
        <v>284509</v>
      </c>
      <c r="D51" s="1">
        <f t="shared" si="0"/>
        <v>56901.8</v>
      </c>
      <c r="E51" t="s">
        <v>6</v>
      </c>
    </row>
    <row r="52" spans="1:5">
      <c r="A52">
        <v>2017</v>
      </c>
      <c r="B52">
        <v>51</v>
      </c>
      <c r="C52" s="1">
        <v>223466</v>
      </c>
      <c r="D52" s="1">
        <f t="shared" si="0"/>
        <v>44693.2</v>
      </c>
      <c r="E52" t="s">
        <v>6</v>
      </c>
    </row>
    <row r="53" spans="1:5">
      <c r="A53">
        <v>2017</v>
      </c>
      <c r="B53">
        <v>52</v>
      </c>
      <c r="C53" s="1">
        <v>134154</v>
      </c>
      <c r="D53" s="1">
        <f>C53/3</f>
        <v>44718</v>
      </c>
      <c r="E53" t="s">
        <v>6</v>
      </c>
    </row>
    <row r="54" spans="1:5">
      <c r="A54">
        <v>2018</v>
      </c>
      <c r="B54">
        <v>1</v>
      </c>
      <c r="C54" s="1">
        <v>183010</v>
      </c>
      <c r="D54" s="1">
        <f>C54/4</f>
        <v>45752.5</v>
      </c>
      <c r="E54" t="s">
        <v>6</v>
      </c>
    </row>
    <row r="55" spans="1:5">
      <c r="A55">
        <v>2018</v>
      </c>
      <c r="B55">
        <v>2</v>
      </c>
      <c r="C55" s="1">
        <v>251268</v>
      </c>
      <c r="D55" s="1">
        <f t="shared" si="0"/>
        <v>50253.599999999999</v>
      </c>
      <c r="E55" t="s">
        <v>6</v>
      </c>
    </row>
    <row r="56" spans="1:5">
      <c r="A56">
        <v>2018</v>
      </c>
      <c r="B56">
        <v>3</v>
      </c>
      <c r="C56" s="1">
        <v>278602</v>
      </c>
      <c r="D56" s="1">
        <f t="shared" si="0"/>
        <v>55720.4</v>
      </c>
      <c r="E56" t="s">
        <v>6</v>
      </c>
    </row>
    <row r="57" spans="1:5">
      <c r="A57">
        <v>2018</v>
      </c>
      <c r="B57">
        <v>4</v>
      </c>
      <c r="C57" s="1">
        <v>272884</v>
      </c>
      <c r="D57" s="1">
        <f t="shared" si="0"/>
        <v>54576.800000000003</v>
      </c>
      <c r="E57" t="s">
        <v>6</v>
      </c>
    </row>
    <row r="58" spans="1:5">
      <c r="A58">
        <v>2018</v>
      </c>
      <c r="B58">
        <v>5</v>
      </c>
      <c r="C58" s="1">
        <v>267845</v>
      </c>
      <c r="D58" s="1">
        <f t="shared" si="0"/>
        <v>53569</v>
      </c>
      <c r="E58" t="s">
        <v>6</v>
      </c>
    </row>
    <row r="59" spans="1:5">
      <c r="A59">
        <v>2018</v>
      </c>
      <c r="B59">
        <v>6</v>
      </c>
      <c r="C59" s="1">
        <v>265184</v>
      </c>
      <c r="D59" s="1">
        <f t="shared" si="0"/>
        <v>53036.800000000003</v>
      </c>
      <c r="E59" t="s">
        <v>6</v>
      </c>
    </row>
    <row r="60" spans="1:5">
      <c r="A60">
        <v>2018</v>
      </c>
      <c r="B60">
        <v>7</v>
      </c>
      <c r="C60" s="1">
        <v>271844</v>
      </c>
      <c r="D60" s="1">
        <f t="shared" si="0"/>
        <v>54368.800000000003</v>
      </c>
      <c r="E60" t="s">
        <v>6</v>
      </c>
    </row>
    <row r="61" spans="1:5">
      <c r="A61">
        <v>2018</v>
      </c>
      <c r="B61">
        <v>8</v>
      </c>
      <c r="C61" s="1">
        <v>198470</v>
      </c>
      <c r="D61" s="1">
        <f>C61/4</f>
        <v>49617.5</v>
      </c>
      <c r="E61" t="s">
        <v>6</v>
      </c>
    </row>
    <row r="62" spans="1:5">
      <c r="A62">
        <v>2018</v>
      </c>
      <c r="B62">
        <v>9</v>
      </c>
      <c r="C62" s="1">
        <v>250097</v>
      </c>
      <c r="D62" s="1">
        <f t="shared" si="0"/>
        <v>50019.4</v>
      </c>
      <c r="E62" t="s">
        <v>6</v>
      </c>
    </row>
    <row r="63" spans="1:5">
      <c r="A63">
        <v>2018</v>
      </c>
      <c r="B63">
        <v>10</v>
      </c>
      <c r="C63" s="1">
        <v>248141</v>
      </c>
      <c r="D63" s="1">
        <f t="shared" si="0"/>
        <v>49628.2</v>
      </c>
      <c r="E63" t="s">
        <v>6</v>
      </c>
    </row>
    <row r="64" spans="1:5">
      <c r="A64">
        <v>2018</v>
      </c>
      <c r="B64">
        <v>11</v>
      </c>
      <c r="C64" s="1">
        <v>246196</v>
      </c>
      <c r="D64" s="1">
        <f t="shared" si="0"/>
        <v>49239.199999999997</v>
      </c>
      <c r="E64" t="s">
        <v>6</v>
      </c>
    </row>
    <row r="65" spans="1:5">
      <c r="A65">
        <v>2018</v>
      </c>
      <c r="B65">
        <v>12</v>
      </c>
      <c r="C65" s="1">
        <v>203920</v>
      </c>
      <c r="D65" s="1">
        <f t="shared" si="0"/>
        <v>40784</v>
      </c>
      <c r="E65" t="s">
        <v>6</v>
      </c>
    </row>
    <row r="66" spans="1:5">
      <c r="A66">
        <v>2018</v>
      </c>
      <c r="B66">
        <v>13</v>
      </c>
      <c r="C66" s="1">
        <v>195613</v>
      </c>
      <c r="D66" s="1">
        <f>C66/4</f>
        <v>48903.25</v>
      </c>
      <c r="E66" t="s">
        <v>6</v>
      </c>
    </row>
    <row r="67" spans="1:5">
      <c r="A67">
        <v>2018</v>
      </c>
      <c r="B67">
        <v>14</v>
      </c>
      <c r="C67" s="1">
        <v>268964</v>
      </c>
      <c r="D67" s="1">
        <f t="shared" ref="D67:D130" si="1">C67/5</f>
        <v>53792.800000000003</v>
      </c>
      <c r="E67" t="s">
        <v>6</v>
      </c>
    </row>
    <row r="68" spans="1:5">
      <c r="A68">
        <v>2018</v>
      </c>
      <c r="B68">
        <v>15</v>
      </c>
      <c r="C68" s="1">
        <v>247914</v>
      </c>
      <c r="D68" s="1">
        <f t="shared" si="1"/>
        <v>49582.8</v>
      </c>
      <c r="E68" t="s">
        <v>6</v>
      </c>
    </row>
    <row r="69" spans="1:5">
      <c r="A69">
        <v>2018</v>
      </c>
      <c r="B69">
        <v>16</v>
      </c>
      <c r="C69" s="1">
        <v>255407</v>
      </c>
      <c r="D69" s="1">
        <f t="shared" si="1"/>
        <v>51081.4</v>
      </c>
      <c r="E69" t="s">
        <v>6</v>
      </c>
    </row>
    <row r="70" spans="1:5">
      <c r="A70">
        <v>2018</v>
      </c>
      <c r="B70">
        <v>17</v>
      </c>
      <c r="C70" s="1">
        <v>251051</v>
      </c>
      <c r="D70" s="1">
        <f t="shared" si="1"/>
        <v>50210.2</v>
      </c>
      <c r="E70" t="s">
        <v>6</v>
      </c>
    </row>
    <row r="71" spans="1:5">
      <c r="A71">
        <v>2018</v>
      </c>
      <c r="B71">
        <v>18</v>
      </c>
      <c r="C71" s="1">
        <v>207292</v>
      </c>
      <c r="D71" s="1">
        <f t="shared" si="1"/>
        <v>41458.400000000001</v>
      </c>
      <c r="E71" t="s">
        <v>6</v>
      </c>
    </row>
    <row r="72" spans="1:5">
      <c r="A72">
        <v>2018</v>
      </c>
      <c r="B72">
        <v>19</v>
      </c>
      <c r="C72" s="1">
        <v>176120</v>
      </c>
      <c r="D72" s="1">
        <f t="shared" si="1"/>
        <v>35224</v>
      </c>
      <c r="E72" t="s">
        <v>6</v>
      </c>
    </row>
    <row r="73" spans="1:5">
      <c r="A73">
        <v>2018</v>
      </c>
      <c r="B73">
        <v>20</v>
      </c>
      <c r="C73" s="1">
        <v>195442</v>
      </c>
      <c r="D73" s="1">
        <f t="shared" si="1"/>
        <v>39088.400000000001</v>
      </c>
      <c r="E73" t="s">
        <v>6</v>
      </c>
    </row>
    <row r="74" spans="1:5">
      <c r="A74">
        <v>2018</v>
      </c>
      <c r="B74">
        <v>21</v>
      </c>
      <c r="C74" s="1">
        <v>206521</v>
      </c>
      <c r="D74" s="1">
        <f>C74/4</f>
        <v>51630.25</v>
      </c>
      <c r="E74" t="s">
        <v>6</v>
      </c>
    </row>
    <row r="75" spans="1:5">
      <c r="A75">
        <v>2018</v>
      </c>
      <c r="B75">
        <v>22</v>
      </c>
      <c r="C75" s="1">
        <v>243238</v>
      </c>
      <c r="D75" s="1">
        <f t="shared" si="1"/>
        <v>48647.6</v>
      </c>
      <c r="E75" t="s">
        <v>6</v>
      </c>
    </row>
    <row r="76" spans="1:5">
      <c r="A76">
        <v>2018</v>
      </c>
      <c r="B76">
        <v>23</v>
      </c>
      <c r="C76" s="1">
        <v>253203</v>
      </c>
      <c r="D76" s="1">
        <f t="shared" si="1"/>
        <v>50640.6</v>
      </c>
      <c r="E76" t="s">
        <v>6</v>
      </c>
    </row>
    <row r="77" spans="1:5">
      <c r="A77">
        <v>2018</v>
      </c>
      <c r="B77">
        <v>24</v>
      </c>
      <c r="C77" s="1">
        <v>257310</v>
      </c>
      <c r="D77" s="1">
        <f t="shared" si="1"/>
        <v>51462</v>
      </c>
      <c r="E77" t="s">
        <v>6</v>
      </c>
    </row>
    <row r="78" spans="1:5">
      <c r="A78">
        <v>2018</v>
      </c>
      <c r="B78">
        <v>25</v>
      </c>
      <c r="C78" s="1">
        <v>192619</v>
      </c>
      <c r="D78" s="1">
        <f t="shared" si="1"/>
        <v>38523.800000000003</v>
      </c>
      <c r="E78" t="s">
        <v>6</v>
      </c>
    </row>
    <row r="79" spans="1:5">
      <c r="A79">
        <v>2018</v>
      </c>
      <c r="B79">
        <v>26</v>
      </c>
      <c r="C79" s="1">
        <v>207817</v>
      </c>
      <c r="D79" s="1">
        <f t="shared" si="1"/>
        <v>41563.4</v>
      </c>
      <c r="E79" t="s">
        <v>6</v>
      </c>
    </row>
    <row r="80" spans="1:5">
      <c r="A80">
        <v>2018</v>
      </c>
      <c r="B80">
        <v>27</v>
      </c>
      <c r="C80" s="1">
        <v>209053</v>
      </c>
      <c r="D80" s="1">
        <f>C80/4</f>
        <v>52263.25</v>
      </c>
      <c r="E80" t="s">
        <v>6</v>
      </c>
    </row>
    <row r="81" spans="1:5">
      <c r="A81">
        <v>2018</v>
      </c>
      <c r="B81">
        <v>28</v>
      </c>
      <c r="C81" s="1">
        <v>251084</v>
      </c>
      <c r="D81" s="1">
        <f t="shared" si="1"/>
        <v>50216.800000000003</v>
      </c>
      <c r="E81" t="s">
        <v>6</v>
      </c>
    </row>
    <row r="82" spans="1:5">
      <c r="A82">
        <v>2018</v>
      </c>
      <c r="B82">
        <v>29</v>
      </c>
      <c r="C82" s="1">
        <v>340898</v>
      </c>
      <c r="D82" s="1">
        <f t="shared" si="1"/>
        <v>68179.600000000006</v>
      </c>
      <c r="E82" t="s">
        <v>6</v>
      </c>
    </row>
    <row r="83" spans="1:5">
      <c r="A83">
        <v>2018</v>
      </c>
      <c r="B83">
        <v>30</v>
      </c>
      <c r="C83" s="1">
        <v>265114</v>
      </c>
      <c r="D83" s="1">
        <f t="shared" si="1"/>
        <v>53022.8</v>
      </c>
      <c r="E83" t="s">
        <v>6</v>
      </c>
    </row>
    <row r="84" spans="1:5">
      <c r="A84">
        <v>2018</v>
      </c>
      <c r="B84">
        <v>31</v>
      </c>
      <c r="C84" s="1">
        <v>204318</v>
      </c>
      <c r="D84" s="1">
        <f t="shared" si="1"/>
        <v>40863.599999999999</v>
      </c>
      <c r="E84" t="s">
        <v>6</v>
      </c>
    </row>
    <row r="85" spans="1:5">
      <c r="A85">
        <v>2018</v>
      </c>
      <c r="B85">
        <v>32</v>
      </c>
      <c r="C85" s="1">
        <v>231718</v>
      </c>
      <c r="D85" s="1">
        <f>C85/4</f>
        <v>57929.5</v>
      </c>
      <c r="E85" t="s">
        <v>6</v>
      </c>
    </row>
    <row r="86" spans="1:5">
      <c r="A86">
        <v>2018</v>
      </c>
      <c r="B86">
        <v>33</v>
      </c>
      <c r="C86" s="1">
        <v>271275</v>
      </c>
      <c r="D86" s="1">
        <f t="shared" si="1"/>
        <v>54255</v>
      </c>
      <c r="E86" t="s">
        <v>6</v>
      </c>
    </row>
    <row r="87" spans="1:5">
      <c r="A87">
        <v>2018</v>
      </c>
      <c r="B87">
        <v>34</v>
      </c>
      <c r="C87" s="1">
        <v>238146</v>
      </c>
      <c r="D87" s="1">
        <f t="shared" si="1"/>
        <v>47629.2</v>
      </c>
      <c r="E87" t="s">
        <v>6</v>
      </c>
    </row>
    <row r="88" spans="1:5">
      <c r="A88">
        <v>2018</v>
      </c>
      <c r="B88">
        <v>35</v>
      </c>
      <c r="C88" s="1">
        <v>242775</v>
      </c>
      <c r="D88" s="1">
        <f t="shared" si="1"/>
        <v>48555</v>
      </c>
      <c r="E88" t="s">
        <v>6</v>
      </c>
    </row>
    <row r="89" spans="1:5">
      <c r="A89">
        <v>2018</v>
      </c>
      <c r="B89">
        <v>36</v>
      </c>
      <c r="C89" s="1">
        <v>267612</v>
      </c>
      <c r="D89" s="1">
        <f>C89/4</f>
        <v>66903</v>
      </c>
      <c r="E89" t="s">
        <v>6</v>
      </c>
    </row>
    <row r="90" spans="1:5">
      <c r="A90">
        <v>2018</v>
      </c>
      <c r="B90">
        <v>37</v>
      </c>
      <c r="C90" s="1">
        <v>371168</v>
      </c>
      <c r="D90" s="1">
        <f t="shared" si="1"/>
        <v>74233.600000000006</v>
      </c>
      <c r="E90" t="s">
        <v>6</v>
      </c>
    </row>
    <row r="91" spans="1:5">
      <c r="A91">
        <v>2018</v>
      </c>
      <c r="B91">
        <v>38</v>
      </c>
      <c r="C91" s="1">
        <v>356536</v>
      </c>
      <c r="D91" s="1">
        <f t="shared" si="1"/>
        <v>71307.199999999997</v>
      </c>
      <c r="E91" t="s">
        <v>6</v>
      </c>
    </row>
    <row r="92" spans="1:5">
      <c r="A92">
        <v>2018</v>
      </c>
      <c r="B92">
        <v>39</v>
      </c>
      <c r="C92" s="1">
        <v>298522</v>
      </c>
      <c r="D92" s="1">
        <f t="shared" si="1"/>
        <v>59704.4</v>
      </c>
      <c r="E92" t="s">
        <v>6</v>
      </c>
    </row>
    <row r="93" spans="1:5">
      <c r="A93">
        <v>2018</v>
      </c>
      <c r="B93">
        <v>40</v>
      </c>
      <c r="C93" s="1">
        <v>286360</v>
      </c>
      <c r="D93" s="1">
        <f t="shared" si="1"/>
        <v>57272</v>
      </c>
      <c r="E93" t="s">
        <v>6</v>
      </c>
    </row>
    <row r="94" spans="1:5">
      <c r="A94">
        <v>2018</v>
      </c>
      <c r="B94">
        <v>41</v>
      </c>
      <c r="C94" s="1">
        <v>292828</v>
      </c>
      <c r="D94" s="1">
        <f>C94/4</f>
        <v>73207</v>
      </c>
      <c r="E94" t="s">
        <v>6</v>
      </c>
    </row>
    <row r="95" spans="1:5">
      <c r="A95">
        <v>2018</v>
      </c>
      <c r="B95">
        <v>42</v>
      </c>
      <c r="C95" s="1">
        <v>349938</v>
      </c>
      <c r="D95" s="1">
        <f t="shared" si="1"/>
        <v>69987.600000000006</v>
      </c>
      <c r="E95" t="s">
        <v>6</v>
      </c>
    </row>
    <row r="96" spans="1:5">
      <c r="A96">
        <v>2018</v>
      </c>
      <c r="B96">
        <v>43</v>
      </c>
      <c r="C96" s="1">
        <v>361344</v>
      </c>
      <c r="D96" s="1">
        <f t="shared" si="1"/>
        <v>72268.800000000003</v>
      </c>
      <c r="E96" t="s">
        <v>6</v>
      </c>
    </row>
    <row r="97" spans="1:5">
      <c r="A97">
        <v>2018</v>
      </c>
      <c r="B97">
        <v>44</v>
      </c>
      <c r="C97" s="1">
        <v>371126</v>
      </c>
      <c r="D97" s="1">
        <f t="shared" si="1"/>
        <v>74225.2</v>
      </c>
      <c r="E97" t="s">
        <v>6</v>
      </c>
    </row>
    <row r="98" spans="1:5">
      <c r="A98">
        <v>2018</v>
      </c>
      <c r="B98">
        <v>45</v>
      </c>
      <c r="C98" s="1">
        <v>360129</v>
      </c>
      <c r="D98" s="1">
        <f t="shared" si="1"/>
        <v>72025.8</v>
      </c>
      <c r="E98" t="s">
        <v>6</v>
      </c>
    </row>
    <row r="99" spans="1:5">
      <c r="A99">
        <v>2018</v>
      </c>
      <c r="B99">
        <v>46</v>
      </c>
      <c r="C99" s="1">
        <v>283712</v>
      </c>
      <c r="D99" s="1">
        <f t="shared" si="1"/>
        <v>56742.400000000001</v>
      </c>
      <c r="E99" t="s">
        <v>6</v>
      </c>
    </row>
    <row r="100" spans="1:5">
      <c r="A100">
        <v>2018</v>
      </c>
      <c r="B100">
        <v>47</v>
      </c>
      <c r="C100" s="1">
        <v>390286</v>
      </c>
      <c r="D100" s="1">
        <f t="shared" si="1"/>
        <v>78057.2</v>
      </c>
      <c r="E100" t="s">
        <v>6</v>
      </c>
    </row>
    <row r="101" spans="1:5">
      <c r="A101">
        <v>2018</v>
      </c>
      <c r="B101">
        <v>48</v>
      </c>
      <c r="C101" s="1">
        <v>448958</v>
      </c>
      <c r="D101" s="1">
        <f t="shared" si="1"/>
        <v>89791.6</v>
      </c>
      <c r="E101" t="s">
        <v>6</v>
      </c>
    </row>
    <row r="102" spans="1:5">
      <c r="A102">
        <v>2018</v>
      </c>
      <c r="B102">
        <v>49</v>
      </c>
      <c r="C102" s="1">
        <v>418238</v>
      </c>
      <c r="D102" s="1">
        <f t="shared" si="1"/>
        <v>83647.600000000006</v>
      </c>
      <c r="E102" t="s">
        <v>6</v>
      </c>
    </row>
    <row r="103" spans="1:5">
      <c r="A103">
        <v>2018</v>
      </c>
      <c r="B103">
        <v>50</v>
      </c>
      <c r="C103" s="1">
        <v>129069</v>
      </c>
      <c r="D103" s="1">
        <f t="shared" si="1"/>
        <v>25813.8</v>
      </c>
      <c r="E103" t="s">
        <v>6</v>
      </c>
    </row>
    <row r="104" spans="1:5">
      <c r="A104">
        <v>2018</v>
      </c>
      <c r="B104">
        <v>51</v>
      </c>
      <c r="C104" s="1">
        <v>188430</v>
      </c>
      <c r="D104" s="1">
        <f t="shared" si="1"/>
        <v>37686</v>
      </c>
      <c r="E104" t="s">
        <v>6</v>
      </c>
    </row>
    <row r="105" spans="1:5">
      <c r="A105">
        <v>2018</v>
      </c>
      <c r="B105">
        <v>52</v>
      </c>
      <c r="C105" s="1">
        <v>235140</v>
      </c>
      <c r="D105" s="1">
        <f t="shared" si="1"/>
        <v>47028</v>
      </c>
      <c r="E105" t="s">
        <v>6</v>
      </c>
    </row>
    <row r="106" spans="1:5">
      <c r="A106">
        <v>2019</v>
      </c>
      <c r="B106">
        <v>1</v>
      </c>
      <c r="C106" s="1">
        <v>184459</v>
      </c>
      <c r="D106" s="1">
        <f t="shared" si="1"/>
        <v>36891.800000000003</v>
      </c>
      <c r="E106" t="s">
        <v>6</v>
      </c>
    </row>
    <row r="107" spans="1:5">
      <c r="A107">
        <v>2019</v>
      </c>
      <c r="B107">
        <v>2</v>
      </c>
      <c r="C107" s="1">
        <v>263720</v>
      </c>
      <c r="D107" s="1">
        <f t="shared" si="1"/>
        <v>52744</v>
      </c>
      <c r="E107" t="s">
        <v>6</v>
      </c>
    </row>
    <row r="108" spans="1:5">
      <c r="A108">
        <v>2019</v>
      </c>
      <c r="B108">
        <v>3</v>
      </c>
      <c r="C108" s="1">
        <v>233945</v>
      </c>
      <c r="D108" s="1">
        <f t="shared" si="1"/>
        <v>46789</v>
      </c>
      <c r="E108" t="s">
        <v>6</v>
      </c>
    </row>
    <row r="109" spans="1:5">
      <c r="A109">
        <v>2019</v>
      </c>
      <c r="B109">
        <v>4</v>
      </c>
      <c r="C109" s="1">
        <v>234043</v>
      </c>
      <c r="D109" s="1">
        <f t="shared" si="1"/>
        <v>46808.6</v>
      </c>
      <c r="E109" t="s">
        <v>6</v>
      </c>
    </row>
    <row r="110" spans="1:5">
      <c r="A110">
        <v>2019</v>
      </c>
      <c r="B110">
        <v>5</v>
      </c>
      <c r="C110" s="1">
        <v>226487</v>
      </c>
      <c r="D110" s="1">
        <f t="shared" si="1"/>
        <v>45297.4</v>
      </c>
      <c r="E110" t="s">
        <v>6</v>
      </c>
    </row>
    <row r="111" spans="1:5">
      <c r="A111">
        <v>2019</v>
      </c>
      <c r="B111">
        <v>6</v>
      </c>
      <c r="C111" s="1">
        <v>227930</v>
      </c>
      <c r="D111" s="1">
        <f t="shared" si="1"/>
        <v>45586</v>
      </c>
      <c r="E111" t="s">
        <v>6</v>
      </c>
    </row>
    <row r="112" spans="1:5">
      <c r="A112">
        <v>2019</v>
      </c>
      <c r="B112">
        <v>7</v>
      </c>
      <c r="C112" s="1">
        <v>219658</v>
      </c>
      <c r="D112" s="1">
        <f t="shared" si="1"/>
        <v>43931.6</v>
      </c>
      <c r="E112" t="s">
        <v>6</v>
      </c>
    </row>
    <row r="113" spans="1:5">
      <c r="A113">
        <v>2019</v>
      </c>
      <c r="B113">
        <v>8</v>
      </c>
      <c r="C113" s="1">
        <v>200531</v>
      </c>
      <c r="D113" s="1">
        <f>C113/4</f>
        <v>50132.75</v>
      </c>
      <c r="E113" t="s">
        <v>6</v>
      </c>
    </row>
    <row r="114" spans="1:5">
      <c r="A114">
        <v>2019</v>
      </c>
      <c r="B114">
        <v>9</v>
      </c>
      <c r="C114" s="1">
        <v>246823</v>
      </c>
      <c r="D114" s="1">
        <f t="shared" si="1"/>
        <v>49364.6</v>
      </c>
      <c r="E114" t="s">
        <v>6</v>
      </c>
    </row>
    <row r="115" spans="1:5">
      <c r="A115">
        <v>2019</v>
      </c>
      <c r="B115">
        <v>10</v>
      </c>
      <c r="C115" s="1">
        <v>240018</v>
      </c>
      <c r="D115" s="1">
        <f t="shared" si="1"/>
        <v>48003.6</v>
      </c>
      <c r="E115" t="s">
        <v>6</v>
      </c>
    </row>
    <row r="116" spans="1:5">
      <c r="A116">
        <v>2019</v>
      </c>
      <c r="B116">
        <v>11</v>
      </c>
      <c r="C116" s="1">
        <v>245774</v>
      </c>
      <c r="D116" s="1">
        <f t="shared" si="1"/>
        <v>49154.8</v>
      </c>
      <c r="E116" t="s">
        <v>6</v>
      </c>
    </row>
    <row r="117" spans="1:5">
      <c r="A117">
        <v>2019</v>
      </c>
      <c r="B117">
        <v>12</v>
      </c>
      <c r="C117" s="1">
        <v>236194</v>
      </c>
      <c r="D117" s="1">
        <f t="shared" si="1"/>
        <v>47238.8</v>
      </c>
      <c r="E117" t="s">
        <v>6</v>
      </c>
    </row>
    <row r="118" spans="1:5">
      <c r="A118">
        <v>2019</v>
      </c>
      <c r="B118">
        <v>13</v>
      </c>
      <c r="C118" s="1">
        <v>233850</v>
      </c>
      <c r="D118" s="1">
        <f t="shared" si="1"/>
        <v>46770</v>
      </c>
      <c r="E118" t="s">
        <v>6</v>
      </c>
    </row>
    <row r="119" spans="1:5">
      <c r="A119">
        <v>2019</v>
      </c>
      <c r="B119">
        <v>14</v>
      </c>
      <c r="C119" s="1">
        <v>203841</v>
      </c>
      <c r="D119" s="1">
        <f t="shared" si="1"/>
        <v>40768.199999999997</v>
      </c>
      <c r="E119" t="s">
        <v>6</v>
      </c>
    </row>
    <row r="120" spans="1:5">
      <c r="A120">
        <v>2019</v>
      </c>
      <c r="B120">
        <v>15</v>
      </c>
      <c r="C120" s="1">
        <v>207265</v>
      </c>
      <c r="D120" s="1">
        <f t="shared" si="1"/>
        <v>41453</v>
      </c>
      <c r="E120" t="s">
        <v>6</v>
      </c>
    </row>
    <row r="121" spans="1:5">
      <c r="A121">
        <v>2019</v>
      </c>
      <c r="B121">
        <v>16</v>
      </c>
      <c r="C121" s="1">
        <v>204375</v>
      </c>
      <c r="D121" s="1">
        <f>C121/4</f>
        <v>51093.75</v>
      </c>
      <c r="E121" t="s">
        <v>6</v>
      </c>
    </row>
    <row r="122" spans="1:5">
      <c r="A122">
        <v>2019</v>
      </c>
      <c r="B122">
        <v>17</v>
      </c>
      <c r="C122" s="1">
        <v>287686</v>
      </c>
      <c r="D122" s="1">
        <f t="shared" si="1"/>
        <v>57537.2</v>
      </c>
      <c r="E122" t="s">
        <v>6</v>
      </c>
    </row>
    <row r="123" spans="1:5">
      <c r="A123">
        <v>2019</v>
      </c>
      <c r="B123">
        <v>18</v>
      </c>
      <c r="C123" s="1">
        <v>285239</v>
      </c>
      <c r="D123" s="1">
        <f t="shared" si="1"/>
        <v>57047.8</v>
      </c>
      <c r="E123" t="s">
        <v>6</v>
      </c>
    </row>
    <row r="124" spans="1:5">
      <c r="A124">
        <v>2019</v>
      </c>
      <c r="B124">
        <v>19</v>
      </c>
      <c r="C124" s="1">
        <v>207096</v>
      </c>
      <c r="D124" s="1">
        <f t="shared" si="1"/>
        <v>41419.199999999997</v>
      </c>
      <c r="E124" t="s">
        <v>6</v>
      </c>
    </row>
    <row r="125" spans="1:5">
      <c r="A125">
        <v>2019</v>
      </c>
      <c r="B125">
        <v>20</v>
      </c>
      <c r="C125" s="1">
        <v>214434</v>
      </c>
      <c r="D125" s="1">
        <f t="shared" si="1"/>
        <v>42886.8</v>
      </c>
      <c r="E125" t="s">
        <v>6</v>
      </c>
    </row>
    <row r="126" spans="1:5">
      <c r="A126">
        <v>2019</v>
      </c>
      <c r="B126">
        <v>21</v>
      </c>
      <c r="C126" s="1">
        <v>200966</v>
      </c>
      <c r="D126" s="1">
        <f>C126/4</f>
        <v>50241.5</v>
      </c>
      <c r="E126" t="s">
        <v>6</v>
      </c>
    </row>
    <row r="127" spans="1:5">
      <c r="A127">
        <v>2019</v>
      </c>
      <c r="B127">
        <v>22</v>
      </c>
      <c r="C127" s="1">
        <v>239813</v>
      </c>
      <c r="D127" s="1">
        <f t="shared" si="1"/>
        <v>47962.6</v>
      </c>
      <c r="E127" t="s">
        <v>6</v>
      </c>
    </row>
    <row r="128" spans="1:5">
      <c r="A128">
        <v>2019</v>
      </c>
      <c r="B128">
        <v>23</v>
      </c>
      <c r="C128" s="1">
        <v>274483</v>
      </c>
      <c r="D128" s="1">
        <f t="shared" si="1"/>
        <v>54896.6</v>
      </c>
      <c r="E128" t="s">
        <v>6</v>
      </c>
    </row>
    <row r="129" spans="1:5">
      <c r="A129">
        <v>2019</v>
      </c>
      <c r="B129">
        <v>24</v>
      </c>
      <c r="C129" s="1">
        <v>278927</v>
      </c>
      <c r="D129" s="1">
        <f t="shared" si="1"/>
        <v>55785.4</v>
      </c>
      <c r="E129" t="s">
        <v>6</v>
      </c>
    </row>
    <row r="130" spans="1:5">
      <c r="A130">
        <v>2019</v>
      </c>
      <c r="B130">
        <v>25</v>
      </c>
      <c r="C130" s="1">
        <v>270335</v>
      </c>
      <c r="D130" s="1">
        <f t="shared" si="1"/>
        <v>54067</v>
      </c>
      <c r="E130" t="s">
        <v>6</v>
      </c>
    </row>
    <row r="131" spans="1:5">
      <c r="A131">
        <v>2019</v>
      </c>
      <c r="B131">
        <v>26</v>
      </c>
      <c r="C131" s="1">
        <v>267652</v>
      </c>
      <c r="D131" s="1">
        <f t="shared" ref="D131:D193" si="2">C131/5</f>
        <v>53530.400000000001</v>
      </c>
      <c r="E131" t="s">
        <v>6</v>
      </c>
    </row>
    <row r="132" spans="1:5">
      <c r="A132">
        <v>2019</v>
      </c>
      <c r="B132">
        <v>27</v>
      </c>
      <c r="C132" s="1">
        <v>229069</v>
      </c>
      <c r="D132" s="1">
        <f>C132/4</f>
        <v>57267.25</v>
      </c>
      <c r="E132" t="s">
        <v>6</v>
      </c>
    </row>
    <row r="133" spans="1:5">
      <c r="A133">
        <v>2019</v>
      </c>
      <c r="B133">
        <v>28</v>
      </c>
      <c r="C133" s="1">
        <v>252698</v>
      </c>
      <c r="D133" s="1">
        <f t="shared" si="2"/>
        <v>50539.6</v>
      </c>
      <c r="E133" t="s">
        <v>6</v>
      </c>
    </row>
    <row r="134" spans="1:5">
      <c r="A134">
        <v>2019</v>
      </c>
      <c r="B134">
        <v>29</v>
      </c>
      <c r="C134" s="1">
        <v>362248</v>
      </c>
      <c r="D134" s="1">
        <f t="shared" si="2"/>
        <v>72449.600000000006</v>
      </c>
      <c r="E134" t="s">
        <v>6</v>
      </c>
    </row>
    <row r="135" spans="1:5">
      <c r="A135">
        <v>2019</v>
      </c>
      <c r="B135">
        <v>30</v>
      </c>
      <c r="C135" s="1">
        <v>288766</v>
      </c>
      <c r="D135" s="1">
        <f t="shared" si="2"/>
        <v>57753.2</v>
      </c>
      <c r="E135" t="s">
        <v>6</v>
      </c>
    </row>
    <row r="136" spans="1:5">
      <c r="A136">
        <v>2019</v>
      </c>
      <c r="B136">
        <v>31</v>
      </c>
      <c r="C136" s="1">
        <v>236491</v>
      </c>
      <c r="D136" s="1">
        <f t="shared" si="2"/>
        <v>47298.2</v>
      </c>
      <c r="E136" t="s">
        <v>6</v>
      </c>
    </row>
    <row r="137" spans="1:5">
      <c r="A137">
        <v>2019</v>
      </c>
      <c r="B137">
        <v>32</v>
      </c>
      <c r="C137" s="1">
        <v>265987</v>
      </c>
      <c r="D137" s="1">
        <f>C137/4</f>
        <v>66496.75</v>
      </c>
      <c r="E137" t="s">
        <v>6</v>
      </c>
    </row>
    <row r="138" spans="1:5">
      <c r="A138">
        <v>2019</v>
      </c>
      <c r="B138">
        <v>33</v>
      </c>
      <c r="C138" s="1">
        <v>312616</v>
      </c>
      <c r="D138" s="1">
        <f t="shared" si="2"/>
        <v>62523.199999999997</v>
      </c>
      <c r="E138" t="s">
        <v>6</v>
      </c>
    </row>
    <row r="139" spans="1:5">
      <c r="A139">
        <v>2019</v>
      </c>
      <c r="B139">
        <v>34</v>
      </c>
      <c r="C139" s="1">
        <v>300072</v>
      </c>
      <c r="D139" s="1">
        <f t="shared" si="2"/>
        <v>60014.400000000001</v>
      </c>
      <c r="E139" t="s">
        <v>6</v>
      </c>
    </row>
    <row r="140" spans="1:5">
      <c r="A140">
        <v>2019</v>
      </c>
      <c r="B140">
        <v>35</v>
      </c>
      <c r="C140" s="1">
        <v>258534</v>
      </c>
      <c r="D140" s="1">
        <f t="shared" si="2"/>
        <v>51706.8</v>
      </c>
      <c r="E140" t="s">
        <v>6</v>
      </c>
    </row>
    <row r="141" spans="1:5">
      <c r="A141">
        <v>2019</v>
      </c>
      <c r="B141">
        <v>36</v>
      </c>
      <c r="C141" s="1">
        <v>282014</v>
      </c>
      <c r="D141" s="1">
        <f>C141/4</f>
        <v>70503.5</v>
      </c>
      <c r="E141" t="s">
        <v>6</v>
      </c>
    </row>
    <row r="142" spans="1:5">
      <c r="A142">
        <v>2019</v>
      </c>
      <c r="B142">
        <v>37</v>
      </c>
      <c r="C142" s="1">
        <v>325393</v>
      </c>
      <c r="D142" s="1">
        <f t="shared" si="2"/>
        <v>65078.6</v>
      </c>
      <c r="E142" t="s">
        <v>6</v>
      </c>
    </row>
    <row r="143" spans="1:5">
      <c r="A143">
        <v>2019</v>
      </c>
      <c r="B143">
        <v>38</v>
      </c>
      <c r="C143" s="1">
        <v>295161</v>
      </c>
      <c r="D143" s="1">
        <f t="shared" si="2"/>
        <v>59032.2</v>
      </c>
      <c r="E143" t="s">
        <v>6</v>
      </c>
    </row>
    <row r="144" spans="1:5">
      <c r="A144">
        <v>2019</v>
      </c>
      <c r="B144">
        <v>39</v>
      </c>
      <c r="C144" s="1">
        <v>261417</v>
      </c>
      <c r="D144" s="1">
        <f t="shared" si="2"/>
        <v>52283.4</v>
      </c>
      <c r="E144" t="s">
        <v>6</v>
      </c>
    </row>
    <row r="145" spans="1:5">
      <c r="A145">
        <v>2019</v>
      </c>
      <c r="B145">
        <v>40</v>
      </c>
      <c r="C145" s="1">
        <v>225688</v>
      </c>
      <c r="D145" s="1">
        <f t="shared" si="2"/>
        <v>45137.599999999999</v>
      </c>
      <c r="E145" t="s">
        <v>6</v>
      </c>
    </row>
    <row r="146" spans="1:5">
      <c r="A146">
        <v>2019</v>
      </c>
      <c r="B146">
        <v>41</v>
      </c>
      <c r="C146" s="1">
        <v>249004</v>
      </c>
      <c r="D146" s="1">
        <f t="shared" si="2"/>
        <v>49800.800000000003</v>
      </c>
      <c r="E146" t="s">
        <v>6</v>
      </c>
    </row>
    <row r="147" spans="1:5">
      <c r="A147">
        <v>2019</v>
      </c>
      <c r="B147">
        <v>42</v>
      </c>
      <c r="C147" s="1">
        <v>244613</v>
      </c>
      <c r="D147" s="1">
        <f>C147/4</f>
        <v>61153.25</v>
      </c>
      <c r="E147" t="s">
        <v>6</v>
      </c>
    </row>
    <row r="148" spans="1:5">
      <c r="A148">
        <v>2019</v>
      </c>
      <c r="B148">
        <v>43</v>
      </c>
      <c r="C148" s="1">
        <v>295402</v>
      </c>
      <c r="D148" s="1">
        <f t="shared" si="2"/>
        <v>59080.4</v>
      </c>
      <c r="E148" t="s">
        <v>6</v>
      </c>
    </row>
    <row r="149" spans="1:5">
      <c r="A149">
        <v>2019</v>
      </c>
      <c r="B149">
        <v>44</v>
      </c>
      <c r="C149" s="1">
        <v>291018</v>
      </c>
      <c r="D149" s="1">
        <f t="shared" si="2"/>
        <v>58203.6</v>
      </c>
      <c r="E149" t="s">
        <v>6</v>
      </c>
    </row>
    <row r="150" spans="1:5">
      <c r="A150">
        <v>2019</v>
      </c>
      <c r="B150">
        <v>45</v>
      </c>
      <c r="C150" s="1">
        <v>292874</v>
      </c>
      <c r="D150" s="1">
        <f t="shared" si="2"/>
        <v>58574.8</v>
      </c>
      <c r="E150" t="s">
        <v>6</v>
      </c>
    </row>
    <row r="151" spans="1:5">
      <c r="A151">
        <v>2019</v>
      </c>
      <c r="B151">
        <v>46</v>
      </c>
      <c r="C151" s="1">
        <v>277707</v>
      </c>
      <c r="D151" s="1">
        <f t="shared" si="2"/>
        <v>55541.4</v>
      </c>
      <c r="E151" t="s">
        <v>6</v>
      </c>
    </row>
    <row r="152" spans="1:5">
      <c r="A152">
        <v>2019</v>
      </c>
      <c r="B152">
        <v>47</v>
      </c>
      <c r="C152" s="1">
        <v>350568</v>
      </c>
      <c r="D152" s="1">
        <f t="shared" si="2"/>
        <v>70113.600000000006</v>
      </c>
      <c r="E152" t="s">
        <v>6</v>
      </c>
    </row>
    <row r="153" spans="1:5">
      <c r="A153">
        <v>2019</v>
      </c>
      <c r="B153">
        <v>48</v>
      </c>
      <c r="C153" s="1">
        <v>411265</v>
      </c>
      <c r="D153" s="1">
        <f t="shared" si="2"/>
        <v>82253</v>
      </c>
      <c r="E153" t="s">
        <v>6</v>
      </c>
    </row>
    <row r="154" spans="1:5">
      <c r="A154">
        <v>2019</v>
      </c>
      <c r="B154">
        <v>49</v>
      </c>
      <c r="C154" s="1">
        <v>529128</v>
      </c>
      <c r="D154" s="1">
        <f t="shared" si="2"/>
        <v>105825.60000000001</v>
      </c>
      <c r="E154" t="s">
        <v>6</v>
      </c>
    </row>
    <row r="155" spans="1:5">
      <c r="A155">
        <v>2019</v>
      </c>
      <c r="B155">
        <v>50</v>
      </c>
      <c r="C155" s="1">
        <v>589271</v>
      </c>
      <c r="D155" s="1">
        <f t="shared" si="2"/>
        <v>117854.2</v>
      </c>
      <c r="E155" t="s">
        <v>6</v>
      </c>
    </row>
    <row r="156" spans="1:5">
      <c r="A156">
        <v>2019</v>
      </c>
      <c r="B156">
        <v>51</v>
      </c>
      <c r="C156" s="1">
        <v>557780</v>
      </c>
      <c r="D156" s="1">
        <f t="shared" si="2"/>
        <v>111556</v>
      </c>
      <c r="E156" t="s">
        <v>6</v>
      </c>
    </row>
    <row r="157" spans="1:5">
      <c r="A157">
        <v>2019</v>
      </c>
      <c r="B157">
        <v>52</v>
      </c>
      <c r="C157" s="1">
        <v>356973</v>
      </c>
      <c r="D157" s="1">
        <f>C157/5</f>
        <v>71394.600000000006</v>
      </c>
      <c r="E157" t="s">
        <v>6</v>
      </c>
    </row>
    <row r="158" spans="1:5">
      <c r="A158">
        <v>2020</v>
      </c>
      <c r="B158">
        <v>1</v>
      </c>
      <c r="C158" s="1">
        <v>122229</v>
      </c>
      <c r="D158" s="1">
        <f>C158/2</f>
        <v>61114.5</v>
      </c>
      <c r="E158" t="s">
        <v>6</v>
      </c>
    </row>
    <row r="159" spans="1:5">
      <c r="A159">
        <v>2020</v>
      </c>
      <c r="B159">
        <v>2</v>
      </c>
      <c r="C159" s="1">
        <v>369722</v>
      </c>
      <c r="D159" s="1">
        <f t="shared" si="2"/>
        <v>73944.399999999994</v>
      </c>
      <c r="E159" t="s">
        <v>6</v>
      </c>
    </row>
    <row r="160" spans="1:5">
      <c r="A160">
        <v>2020</v>
      </c>
      <c r="B160">
        <v>3</v>
      </c>
      <c r="C160" s="1">
        <v>308009</v>
      </c>
      <c r="D160" s="1">
        <f t="shared" si="2"/>
        <v>61601.8</v>
      </c>
      <c r="E160" t="s">
        <v>6</v>
      </c>
    </row>
    <row r="161" spans="1:5">
      <c r="A161">
        <v>2020</v>
      </c>
      <c r="B161">
        <v>4</v>
      </c>
      <c r="C161" s="1">
        <v>334013</v>
      </c>
      <c r="D161" s="1">
        <f t="shared" si="2"/>
        <v>66802.600000000006</v>
      </c>
      <c r="E161" t="s">
        <v>6</v>
      </c>
    </row>
    <row r="162" spans="1:5">
      <c r="A162">
        <v>2020</v>
      </c>
      <c r="B162">
        <v>5</v>
      </c>
      <c r="C162" s="1">
        <v>309002</v>
      </c>
      <c r="D162" s="1">
        <f t="shared" si="2"/>
        <v>61800.4</v>
      </c>
      <c r="E162" t="s">
        <v>6</v>
      </c>
    </row>
    <row r="163" spans="1:5">
      <c r="A163">
        <v>2020</v>
      </c>
      <c r="B163">
        <v>6</v>
      </c>
      <c r="C163" s="1">
        <v>283983</v>
      </c>
      <c r="D163" s="1">
        <f t="shared" si="2"/>
        <v>56796.6</v>
      </c>
      <c r="E163" t="s">
        <v>6</v>
      </c>
    </row>
    <row r="164" spans="1:5">
      <c r="A164">
        <v>2020</v>
      </c>
      <c r="B164">
        <v>7</v>
      </c>
      <c r="C164" s="1">
        <v>304373</v>
      </c>
      <c r="D164" s="1">
        <f t="shared" si="2"/>
        <v>60874.6</v>
      </c>
      <c r="E164" t="s">
        <v>6</v>
      </c>
    </row>
    <row r="165" spans="1:5">
      <c r="A165">
        <v>2020</v>
      </c>
      <c r="B165">
        <v>8</v>
      </c>
      <c r="C165" s="1">
        <v>259180</v>
      </c>
      <c r="D165" s="1">
        <f>C165/4</f>
        <v>64795</v>
      </c>
      <c r="E165" t="s">
        <v>6</v>
      </c>
    </row>
    <row r="166" spans="1:5">
      <c r="A166">
        <v>2020</v>
      </c>
      <c r="B166">
        <v>9</v>
      </c>
      <c r="C166" s="1">
        <v>309575</v>
      </c>
      <c r="D166" s="1">
        <f t="shared" si="2"/>
        <v>61915</v>
      </c>
      <c r="E166" t="s">
        <v>6</v>
      </c>
    </row>
    <row r="167" spans="1:5">
      <c r="A167">
        <v>2020</v>
      </c>
      <c r="B167">
        <v>10</v>
      </c>
      <c r="C167" s="1">
        <v>331475</v>
      </c>
      <c r="D167" s="1">
        <f t="shared" si="2"/>
        <v>66295</v>
      </c>
      <c r="E167" t="s">
        <v>6</v>
      </c>
    </row>
    <row r="168" spans="1:5">
      <c r="A168">
        <v>2020</v>
      </c>
      <c r="B168">
        <v>11</v>
      </c>
      <c r="C168" s="1">
        <v>330017</v>
      </c>
      <c r="D168" s="1">
        <f t="shared" si="2"/>
        <v>66003.399999999994</v>
      </c>
      <c r="E168" t="s">
        <v>6</v>
      </c>
    </row>
    <row r="169" spans="1:5">
      <c r="A169">
        <v>2020</v>
      </c>
      <c r="B169">
        <v>12</v>
      </c>
      <c r="C169" s="1">
        <v>403807</v>
      </c>
      <c r="D169" s="1">
        <f t="shared" si="2"/>
        <v>80761.399999999994</v>
      </c>
      <c r="E169" t="s">
        <v>6</v>
      </c>
    </row>
    <row r="170" spans="1:5">
      <c r="A170">
        <v>2020</v>
      </c>
      <c r="B170">
        <v>13</v>
      </c>
      <c r="C170" s="1">
        <v>534224</v>
      </c>
      <c r="D170" s="1">
        <f t="shared" si="2"/>
        <v>106844.8</v>
      </c>
      <c r="E170" t="s">
        <v>6</v>
      </c>
    </row>
    <row r="171" spans="1:5">
      <c r="A171">
        <v>2020</v>
      </c>
      <c r="B171">
        <v>14</v>
      </c>
      <c r="C171" s="1">
        <v>450619</v>
      </c>
      <c r="D171" s="1">
        <f t="shared" si="2"/>
        <v>90123.8</v>
      </c>
      <c r="E171" t="s">
        <v>6</v>
      </c>
    </row>
    <row r="172" spans="1:5">
      <c r="A172">
        <v>2020</v>
      </c>
      <c r="B172">
        <v>15</v>
      </c>
      <c r="C172" s="1">
        <v>336820</v>
      </c>
      <c r="D172" s="1">
        <f>C172/4</f>
        <v>84205</v>
      </c>
      <c r="E172" t="s">
        <v>6</v>
      </c>
    </row>
    <row r="173" spans="1:5">
      <c r="A173">
        <v>2020</v>
      </c>
      <c r="B173">
        <v>16</v>
      </c>
      <c r="C173" s="1">
        <v>450020</v>
      </c>
      <c r="D173" s="1">
        <f t="shared" si="2"/>
        <v>90004</v>
      </c>
      <c r="E173" t="s">
        <v>6</v>
      </c>
    </row>
    <row r="174" spans="1:5">
      <c r="A174">
        <v>2020</v>
      </c>
      <c r="B174">
        <v>17</v>
      </c>
      <c r="C174" s="1">
        <v>445081</v>
      </c>
      <c r="D174" s="1">
        <f t="shared" si="2"/>
        <v>89016.2</v>
      </c>
      <c r="E174" t="s">
        <v>6</v>
      </c>
    </row>
    <row r="175" spans="1:5">
      <c r="A175">
        <v>2020</v>
      </c>
      <c r="B175">
        <v>18</v>
      </c>
      <c r="C175" s="1">
        <v>520833</v>
      </c>
      <c r="D175" s="1">
        <f t="shared" si="2"/>
        <v>104166.6</v>
      </c>
      <c r="E175" t="s">
        <v>6</v>
      </c>
    </row>
    <row r="176" spans="1:5">
      <c r="A176">
        <v>2020</v>
      </c>
      <c r="B176">
        <v>19</v>
      </c>
      <c r="C176" s="1">
        <v>460194</v>
      </c>
      <c r="D176" s="1">
        <f t="shared" si="2"/>
        <v>92038.8</v>
      </c>
      <c r="E176" t="s">
        <v>6</v>
      </c>
    </row>
    <row r="177" spans="1:5">
      <c r="A177">
        <v>2020</v>
      </c>
      <c r="B177">
        <v>20</v>
      </c>
      <c r="C177" s="1">
        <v>401419</v>
      </c>
      <c r="D177" s="1">
        <f t="shared" si="2"/>
        <v>80283.8</v>
      </c>
      <c r="E177" t="s">
        <v>6</v>
      </c>
    </row>
    <row r="178" spans="1:5">
      <c r="A178">
        <v>2020</v>
      </c>
      <c r="B178">
        <v>21</v>
      </c>
      <c r="C178" s="1">
        <v>313620</v>
      </c>
      <c r="D178" s="1">
        <f>C178/4</f>
        <v>78405</v>
      </c>
      <c r="E178" t="s">
        <v>6</v>
      </c>
    </row>
    <row r="179" spans="1:5">
      <c r="A179">
        <v>2020</v>
      </c>
      <c r="B179">
        <v>22</v>
      </c>
      <c r="C179" s="1">
        <v>419408</v>
      </c>
      <c r="D179" s="1">
        <f t="shared" si="2"/>
        <v>83881.600000000006</v>
      </c>
      <c r="E179" t="s">
        <v>6</v>
      </c>
    </row>
    <row r="180" spans="1:5">
      <c r="A180">
        <v>2020</v>
      </c>
      <c r="B180">
        <v>23</v>
      </c>
      <c r="C180" s="1">
        <v>457270</v>
      </c>
      <c r="D180" s="1">
        <f t="shared" si="2"/>
        <v>91454</v>
      </c>
      <c r="E180" t="s">
        <v>6</v>
      </c>
    </row>
    <row r="181" spans="1:5">
      <c r="A181">
        <v>2020</v>
      </c>
      <c r="B181">
        <v>24</v>
      </c>
      <c r="C181" s="1">
        <v>440142</v>
      </c>
      <c r="D181" s="1">
        <f t="shared" si="2"/>
        <v>88028.4</v>
      </c>
      <c r="E181" t="s">
        <v>6</v>
      </c>
    </row>
    <row r="182" spans="1:5">
      <c r="A182">
        <v>2020</v>
      </c>
      <c r="B182">
        <v>25</v>
      </c>
      <c r="C182" s="1">
        <v>434145</v>
      </c>
      <c r="D182" s="1">
        <f t="shared" si="2"/>
        <v>86829</v>
      </c>
      <c r="E182" t="s">
        <v>6</v>
      </c>
    </row>
    <row r="183" spans="1:5">
      <c r="A183">
        <v>2020</v>
      </c>
      <c r="B183">
        <v>26</v>
      </c>
      <c r="C183" s="1">
        <v>404192</v>
      </c>
      <c r="D183" s="1">
        <f t="shared" si="2"/>
        <v>80838.399999999994</v>
      </c>
      <c r="E183" t="s">
        <v>6</v>
      </c>
    </row>
    <row r="184" spans="1:5">
      <c r="A184">
        <v>2020</v>
      </c>
      <c r="B184">
        <v>27</v>
      </c>
      <c r="C184" s="1">
        <v>324096</v>
      </c>
      <c r="D184" s="1">
        <f>C184/4</f>
        <v>81024</v>
      </c>
      <c r="E184" t="s">
        <v>6</v>
      </c>
    </row>
    <row r="185" spans="1:5">
      <c r="A185">
        <v>2020</v>
      </c>
      <c r="B185">
        <v>28</v>
      </c>
      <c r="C185" s="1">
        <v>447227</v>
      </c>
      <c r="D185" s="1">
        <f t="shared" si="2"/>
        <v>89445.4</v>
      </c>
      <c r="E185" t="s">
        <v>6</v>
      </c>
    </row>
    <row r="186" spans="1:5">
      <c r="A186">
        <v>2020</v>
      </c>
      <c r="B186">
        <v>29</v>
      </c>
      <c r="C186" s="1">
        <v>361261</v>
      </c>
      <c r="D186" s="1">
        <f t="shared" si="2"/>
        <v>72252.2</v>
      </c>
      <c r="E186" t="s">
        <v>6</v>
      </c>
    </row>
    <row r="187" spans="1:5">
      <c r="A187">
        <v>2020</v>
      </c>
      <c r="B187">
        <v>30</v>
      </c>
      <c r="C187" s="1">
        <v>385734</v>
      </c>
      <c r="D187" s="1">
        <f t="shared" si="2"/>
        <v>77146.8</v>
      </c>
      <c r="E187" t="s">
        <v>6</v>
      </c>
    </row>
    <row r="188" spans="1:5">
      <c r="A188">
        <v>2020</v>
      </c>
      <c r="B188">
        <v>31</v>
      </c>
      <c r="C188" s="1">
        <v>367785</v>
      </c>
      <c r="D188" s="1">
        <f t="shared" si="2"/>
        <v>73557</v>
      </c>
      <c r="E188" t="s">
        <v>6</v>
      </c>
    </row>
    <row r="189" spans="1:5">
      <c r="A189">
        <v>2020</v>
      </c>
      <c r="B189">
        <v>32</v>
      </c>
      <c r="C189" s="1">
        <v>312631</v>
      </c>
      <c r="D189" s="1">
        <f>C189/4</f>
        <v>78157.75</v>
      </c>
      <c r="E189" t="s">
        <v>6</v>
      </c>
    </row>
    <row r="190" spans="1:5">
      <c r="A190">
        <v>2020</v>
      </c>
      <c r="B190">
        <v>33</v>
      </c>
      <c r="C190" s="1">
        <v>380772</v>
      </c>
      <c r="D190" s="1">
        <f t="shared" si="2"/>
        <v>76154.399999999994</v>
      </c>
      <c r="E190" t="s">
        <v>6</v>
      </c>
    </row>
    <row r="191" spans="1:5">
      <c r="A191">
        <v>2020</v>
      </c>
      <c r="B191">
        <v>34</v>
      </c>
      <c r="C191" s="1">
        <v>438269</v>
      </c>
      <c r="D191" s="1">
        <f t="shared" si="2"/>
        <v>87653.8</v>
      </c>
      <c r="E191" t="s">
        <v>6</v>
      </c>
    </row>
    <row r="192" spans="1:5">
      <c r="A192">
        <v>2020</v>
      </c>
      <c r="B192">
        <v>35</v>
      </c>
      <c r="C192" s="1">
        <v>464874</v>
      </c>
      <c r="D192" s="1">
        <f t="shared" si="2"/>
        <v>92974.8</v>
      </c>
      <c r="E192" t="s">
        <v>6</v>
      </c>
    </row>
    <row r="193" spans="1:5">
      <c r="A193">
        <v>2020</v>
      </c>
      <c r="B193">
        <v>36</v>
      </c>
      <c r="C193" s="1">
        <v>476173</v>
      </c>
      <c r="D193" s="1">
        <f t="shared" si="2"/>
        <v>95234.6</v>
      </c>
      <c r="E193" t="s">
        <v>6</v>
      </c>
    </row>
    <row r="194" spans="1:5">
      <c r="A194">
        <v>2020</v>
      </c>
      <c r="B194">
        <v>37</v>
      </c>
      <c r="C194" s="1">
        <v>403559</v>
      </c>
      <c r="D194" s="1">
        <f>C194/4</f>
        <v>100889.75</v>
      </c>
      <c r="E194" t="s">
        <v>6</v>
      </c>
    </row>
    <row r="195" spans="1:5">
      <c r="A195">
        <v>2020</v>
      </c>
      <c r="B195">
        <v>38</v>
      </c>
      <c r="C195" s="1">
        <v>512925</v>
      </c>
      <c r="D195" s="1">
        <f t="shared" ref="D195:D221" si="3">C195/5</f>
        <v>102585</v>
      </c>
      <c r="E195" t="s">
        <v>6</v>
      </c>
    </row>
    <row r="196" spans="1:5">
      <c r="A196">
        <v>2020</v>
      </c>
      <c r="B196">
        <v>39</v>
      </c>
      <c r="C196" s="1">
        <v>490081</v>
      </c>
      <c r="D196" s="1">
        <f t="shared" si="3"/>
        <v>98016.2</v>
      </c>
      <c r="E196" t="s">
        <v>6</v>
      </c>
    </row>
    <row r="197" spans="1:5">
      <c r="A197">
        <v>2020</v>
      </c>
      <c r="B197">
        <v>40</v>
      </c>
      <c r="C197" s="1">
        <v>488645</v>
      </c>
      <c r="D197" s="1">
        <f t="shared" si="3"/>
        <v>97729</v>
      </c>
      <c r="E197" t="s">
        <v>6</v>
      </c>
    </row>
    <row r="198" spans="1:5">
      <c r="A198">
        <v>2020</v>
      </c>
      <c r="B198">
        <v>41</v>
      </c>
      <c r="C198" s="1">
        <v>466554</v>
      </c>
      <c r="D198" s="1">
        <f t="shared" si="3"/>
        <v>93310.8</v>
      </c>
      <c r="E198" t="s">
        <v>6</v>
      </c>
    </row>
    <row r="199" spans="1:5">
      <c r="A199">
        <v>2020</v>
      </c>
      <c r="B199">
        <v>42</v>
      </c>
      <c r="C199" s="1">
        <v>466635</v>
      </c>
      <c r="D199" s="1">
        <f>C199/5</f>
        <v>93327</v>
      </c>
      <c r="E199" t="s">
        <v>6</v>
      </c>
    </row>
    <row r="200" spans="1:5">
      <c r="A200">
        <v>2020</v>
      </c>
      <c r="B200">
        <v>43</v>
      </c>
      <c r="C200" s="1">
        <v>627309</v>
      </c>
      <c r="D200" s="1">
        <f t="shared" si="3"/>
        <v>125461.8</v>
      </c>
      <c r="E200" t="s">
        <v>6</v>
      </c>
    </row>
    <row r="201" spans="1:5">
      <c r="A201">
        <v>2020</v>
      </c>
      <c r="B201">
        <v>44</v>
      </c>
      <c r="C201" s="1">
        <v>544116</v>
      </c>
      <c r="D201" s="1">
        <f t="shared" si="3"/>
        <v>108823.2</v>
      </c>
      <c r="E201" t="s">
        <v>6</v>
      </c>
    </row>
    <row r="202" spans="1:5">
      <c r="A202">
        <v>2020</v>
      </c>
      <c r="B202">
        <v>45</v>
      </c>
      <c r="C202" s="1">
        <v>514146</v>
      </c>
      <c r="D202" s="1">
        <f t="shared" si="3"/>
        <v>102829.2</v>
      </c>
      <c r="E202" t="s">
        <v>6</v>
      </c>
    </row>
    <row r="203" spans="1:5">
      <c r="A203">
        <v>2020</v>
      </c>
      <c r="B203">
        <v>46</v>
      </c>
      <c r="C203" s="1">
        <v>527883</v>
      </c>
      <c r="D203" s="1">
        <f>C203/5</f>
        <v>105576.6</v>
      </c>
      <c r="E203" t="s">
        <v>6</v>
      </c>
    </row>
    <row r="204" spans="1:5">
      <c r="A204">
        <v>2020</v>
      </c>
      <c r="B204">
        <v>47</v>
      </c>
      <c r="C204" s="1">
        <v>542013</v>
      </c>
      <c r="D204" s="1">
        <f t="shared" si="3"/>
        <v>108402.6</v>
      </c>
      <c r="E204" t="s">
        <v>6</v>
      </c>
    </row>
    <row r="205" spans="1:5">
      <c r="A205">
        <v>2020</v>
      </c>
      <c r="B205">
        <v>48</v>
      </c>
      <c r="C205" s="1">
        <v>659360</v>
      </c>
      <c r="D205" s="1">
        <f t="shared" si="3"/>
        <v>131872</v>
      </c>
      <c r="E205" t="s">
        <v>6</v>
      </c>
    </row>
    <row r="206" spans="1:5">
      <c r="A206">
        <v>2020</v>
      </c>
      <c r="B206">
        <v>49</v>
      </c>
      <c r="C206" s="1">
        <v>726505</v>
      </c>
      <c r="D206" s="1">
        <f t="shared" si="3"/>
        <v>145301</v>
      </c>
      <c r="E206" t="s">
        <v>6</v>
      </c>
    </row>
    <row r="207" spans="1:5">
      <c r="A207">
        <v>2020</v>
      </c>
      <c r="B207">
        <v>50</v>
      </c>
      <c r="C207" s="1">
        <v>749284</v>
      </c>
      <c r="D207" s="1">
        <f t="shared" si="3"/>
        <v>149856.79999999999</v>
      </c>
      <c r="E207" t="s">
        <v>6</v>
      </c>
    </row>
    <row r="208" spans="1:5">
      <c r="A208">
        <v>2020</v>
      </c>
      <c r="B208">
        <v>51</v>
      </c>
      <c r="C208" s="1">
        <v>652897</v>
      </c>
      <c r="D208" s="1">
        <f t="shared" si="3"/>
        <v>130579.4</v>
      </c>
      <c r="E208" t="s">
        <v>6</v>
      </c>
    </row>
    <row r="209" spans="1:5">
      <c r="A209">
        <v>2020</v>
      </c>
      <c r="B209">
        <v>52</v>
      </c>
      <c r="C209" s="1">
        <v>761291</v>
      </c>
      <c r="D209" s="1">
        <f>C209/7</f>
        <v>108755.85714285714</v>
      </c>
      <c r="E209" t="s">
        <v>6</v>
      </c>
    </row>
    <row r="210" spans="1:5">
      <c r="A210">
        <v>2021</v>
      </c>
      <c r="B210">
        <v>1</v>
      </c>
      <c r="C210" s="1">
        <v>428900</v>
      </c>
      <c r="D210" s="1">
        <f t="shared" si="3"/>
        <v>85780</v>
      </c>
      <c r="E210" t="s">
        <v>6</v>
      </c>
    </row>
    <row r="211" spans="1:5">
      <c r="A211">
        <v>2021</v>
      </c>
      <c r="B211">
        <v>2</v>
      </c>
      <c r="C211" s="1">
        <v>454788</v>
      </c>
      <c r="D211" s="1">
        <f t="shared" si="3"/>
        <v>90957.6</v>
      </c>
      <c r="E211" t="s">
        <v>6</v>
      </c>
    </row>
    <row r="212" spans="1:5">
      <c r="A212">
        <v>2021</v>
      </c>
      <c r="B212">
        <v>3</v>
      </c>
      <c r="C212" s="1">
        <v>417881</v>
      </c>
      <c r="D212" s="1">
        <f t="shared" si="3"/>
        <v>83576.2</v>
      </c>
      <c r="E212" t="s">
        <v>6</v>
      </c>
    </row>
    <row r="213" spans="1:5">
      <c r="A213">
        <v>2021</v>
      </c>
      <c r="B213">
        <v>4</v>
      </c>
      <c r="C213" s="1">
        <v>447090</v>
      </c>
      <c r="D213" s="1">
        <f t="shared" si="3"/>
        <v>89418</v>
      </c>
      <c r="E213" t="s">
        <v>6</v>
      </c>
    </row>
    <row r="214" spans="1:5">
      <c r="A214">
        <v>2021</v>
      </c>
      <c r="B214">
        <v>5</v>
      </c>
      <c r="C214" s="1">
        <v>460783</v>
      </c>
      <c r="D214" s="1">
        <f t="shared" si="3"/>
        <v>92156.6</v>
      </c>
      <c r="E214" t="s">
        <v>6</v>
      </c>
    </row>
    <row r="215" spans="1:5">
      <c r="A215">
        <v>2021</v>
      </c>
      <c r="B215">
        <v>6</v>
      </c>
      <c r="C215" s="1">
        <v>486729</v>
      </c>
      <c r="D215" s="1">
        <f t="shared" si="3"/>
        <v>97345.8</v>
      </c>
      <c r="E215" t="s">
        <v>6</v>
      </c>
    </row>
    <row r="216" spans="1:5">
      <c r="A216">
        <v>2021</v>
      </c>
      <c r="B216">
        <v>7</v>
      </c>
      <c r="C216" s="1">
        <v>372700</v>
      </c>
      <c r="D216" s="1">
        <f>C216/4</f>
        <v>93175</v>
      </c>
      <c r="E216" t="s">
        <v>6</v>
      </c>
    </row>
    <row r="217" spans="1:5">
      <c r="A217">
        <v>2021</v>
      </c>
      <c r="B217">
        <v>8</v>
      </c>
      <c r="C217" s="1">
        <v>460198</v>
      </c>
      <c r="D217" s="1">
        <f t="shared" si="3"/>
        <v>92039.6</v>
      </c>
      <c r="E217" t="s">
        <v>6</v>
      </c>
    </row>
    <row r="218" spans="1:5">
      <c r="A218">
        <v>2021</v>
      </c>
      <c r="B218">
        <v>9</v>
      </c>
      <c r="C218" s="1">
        <v>450822</v>
      </c>
      <c r="D218" s="1">
        <f t="shared" si="3"/>
        <v>90164.4</v>
      </c>
      <c r="E218" t="s">
        <v>6</v>
      </c>
    </row>
    <row r="219" spans="1:5">
      <c r="A219">
        <v>2021</v>
      </c>
      <c r="B219">
        <v>10</v>
      </c>
      <c r="C219" s="1">
        <v>447972</v>
      </c>
      <c r="D219" s="1">
        <f t="shared" si="3"/>
        <v>89594.4</v>
      </c>
      <c r="E219" t="s">
        <v>6</v>
      </c>
    </row>
    <row r="220" spans="1:5">
      <c r="A220">
        <v>2021</v>
      </c>
      <c r="B220">
        <v>11</v>
      </c>
      <c r="C220" s="1">
        <v>437189</v>
      </c>
      <c r="D220" s="1">
        <f t="shared" si="3"/>
        <v>87437.8</v>
      </c>
      <c r="E220" t="s">
        <v>6</v>
      </c>
    </row>
    <row r="221" spans="1:5">
      <c r="A221">
        <v>2021</v>
      </c>
      <c r="B221">
        <v>12</v>
      </c>
      <c r="C221" s="1">
        <v>442859</v>
      </c>
      <c r="D221" s="1">
        <f t="shared" si="3"/>
        <v>88571.8</v>
      </c>
      <c r="E221" t="s">
        <v>6</v>
      </c>
    </row>
    <row r="222" spans="1:5">
      <c r="A222">
        <v>2021</v>
      </c>
      <c r="B222">
        <v>13</v>
      </c>
      <c r="C222" s="1">
        <v>364125</v>
      </c>
      <c r="D222" s="1">
        <f>C222/4</f>
        <v>91031.25</v>
      </c>
      <c r="E222" t="s">
        <v>6</v>
      </c>
    </row>
    <row r="223" spans="1:5">
      <c r="A223">
        <v>2021</v>
      </c>
      <c r="B223">
        <v>14</v>
      </c>
      <c r="C223" s="1">
        <v>486909</v>
      </c>
      <c r="D223" s="1">
        <f t="shared" ref="D223:D259" si="4">C223/5</f>
        <v>97381.8</v>
      </c>
      <c r="E223" t="s">
        <v>6</v>
      </c>
    </row>
    <row r="224" spans="1:5">
      <c r="A224">
        <v>2021</v>
      </c>
      <c r="B224">
        <v>15</v>
      </c>
      <c r="C224" s="1">
        <v>476474</v>
      </c>
      <c r="D224" s="1">
        <f t="shared" si="4"/>
        <v>95294.8</v>
      </c>
      <c r="E224" t="s">
        <v>6</v>
      </c>
    </row>
    <row r="225" spans="1:5">
      <c r="A225">
        <v>2021</v>
      </c>
      <c r="B225">
        <v>16</v>
      </c>
      <c r="C225" s="1">
        <v>501249</v>
      </c>
      <c r="D225" s="1">
        <f t="shared" si="4"/>
        <v>100249.8</v>
      </c>
      <c r="E225" t="s">
        <v>6</v>
      </c>
    </row>
    <row r="226" spans="1:5">
      <c r="A226">
        <v>2021</v>
      </c>
      <c r="B226">
        <v>17</v>
      </c>
      <c r="C226" s="1">
        <v>534641</v>
      </c>
      <c r="D226" s="1">
        <f t="shared" si="4"/>
        <v>106928.2</v>
      </c>
      <c r="E226" t="s">
        <v>6</v>
      </c>
    </row>
    <row r="227" spans="1:5">
      <c r="A227">
        <v>2021</v>
      </c>
      <c r="B227">
        <v>18</v>
      </c>
      <c r="C227" s="1">
        <v>531775</v>
      </c>
      <c r="D227" s="1">
        <f t="shared" si="4"/>
        <v>106355</v>
      </c>
      <c r="E227" t="s">
        <v>6</v>
      </c>
    </row>
    <row r="228" spans="1:5">
      <c r="A228">
        <v>2021</v>
      </c>
      <c r="B228">
        <v>19</v>
      </c>
      <c r="C228" s="1">
        <v>536858</v>
      </c>
      <c r="D228" s="1">
        <f t="shared" si="4"/>
        <v>107371.6</v>
      </c>
      <c r="E228" t="s">
        <v>6</v>
      </c>
    </row>
    <row r="229" spans="1:5">
      <c r="A229">
        <v>2021</v>
      </c>
      <c r="B229">
        <v>20</v>
      </c>
      <c r="C229" s="1">
        <v>530353</v>
      </c>
      <c r="D229" s="1">
        <f t="shared" si="4"/>
        <v>106070.6</v>
      </c>
      <c r="E229" t="s">
        <v>6</v>
      </c>
    </row>
    <row r="230" spans="1:5">
      <c r="A230">
        <v>2021</v>
      </c>
      <c r="B230">
        <v>21</v>
      </c>
      <c r="C230" s="1">
        <v>403958</v>
      </c>
      <c r="D230" s="1">
        <f>C230/4</f>
        <v>100989.5</v>
      </c>
      <c r="E230" t="s">
        <v>6</v>
      </c>
    </row>
    <row r="231" spans="1:5">
      <c r="A231">
        <v>2021</v>
      </c>
      <c r="B231">
        <v>22</v>
      </c>
      <c r="C231" s="1">
        <v>515581</v>
      </c>
      <c r="D231" s="1">
        <f t="shared" si="4"/>
        <v>103116.2</v>
      </c>
      <c r="E231" t="s">
        <v>6</v>
      </c>
    </row>
    <row r="232" spans="1:5">
      <c r="A232">
        <v>2021</v>
      </c>
      <c r="B232">
        <v>23</v>
      </c>
      <c r="C232" s="1">
        <v>476754</v>
      </c>
      <c r="D232" s="1">
        <f t="shared" si="4"/>
        <v>95350.8</v>
      </c>
      <c r="E232" t="s">
        <v>6</v>
      </c>
    </row>
    <row r="233" spans="1:5">
      <c r="A233">
        <v>2021</v>
      </c>
      <c r="B233">
        <v>24</v>
      </c>
      <c r="C233" s="1">
        <v>453190</v>
      </c>
      <c r="D233" s="1">
        <f t="shared" si="4"/>
        <v>90638</v>
      </c>
      <c r="E233" t="s">
        <v>6</v>
      </c>
    </row>
    <row r="234" spans="1:5">
      <c r="A234">
        <v>2021</v>
      </c>
      <c r="B234">
        <v>25</v>
      </c>
      <c r="C234" s="1">
        <v>406813</v>
      </c>
      <c r="D234" s="1">
        <f t="shared" si="4"/>
        <v>81362.600000000006</v>
      </c>
      <c r="E234" t="s">
        <v>6</v>
      </c>
    </row>
    <row r="235" spans="1:5">
      <c r="A235">
        <v>2021</v>
      </c>
      <c r="B235">
        <v>26</v>
      </c>
      <c r="C235" s="1">
        <v>326049</v>
      </c>
      <c r="D235" s="1">
        <f>C235/4</f>
        <v>81512.25</v>
      </c>
      <c r="E235" t="s">
        <v>6</v>
      </c>
    </row>
    <row r="236" spans="1:5">
      <c r="A236">
        <v>2021</v>
      </c>
      <c r="B236">
        <v>27</v>
      </c>
      <c r="C236" s="1">
        <v>433914</v>
      </c>
      <c r="D236" s="1">
        <f t="shared" si="4"/>
        <v>86782.8</v>
      </c>
      <c r="E236" t="s">
        <v>6</v>
      </c>
    </row>
    <row r="237" spans="1:5">
      <c r="A237">
        <v>2021</v>
      </c>
      <c r="B237">
        <v>28</v>
      </c>
      <c r="C237" s="1">
        <v>408673</v>
      </c>
      <c r="D237" s="1">
        <f t="shared" si="4"/>
        <v>81734.600000000006</v>
      </c>
      <c r="E237" t="s">
        <v>6</v>
      </c>
    </row>
    <row r="238" spans="1:5">
      <c r="A238">
        <v>2021</v>
      </c>
      <c r="B238">
        <v>29</v>
      </c>
      <c r="C238" s="1">
        <v>403191</v>
      </c>
      <c r="D238" s="1">
        <f t="shared" si="4"/>
        <v>80638.2</v>
      </c>
      <c r="E238" t="s">
        <v>6</v>
      </c>
    </row>
    <row r="239" spans="1:5">
      <c r="A239">
        <v>2021</v>
      </c>
      <c r="B239">
        <v>30</v>
      </c>
      <c r="C239" s="1">
        <v>390527</v>
      </c>
      <c r="D239" s="1">
        <f t="shared" si="4"/>
        <v>78105.399999999994</v>
      </c>
      <c r="E239" t="s">
        <v>6</v>
      </c>
    </row>
    <row r="240" spans="1:5">
      <c r="A240">
        <v>2021</v>
      </c>
      <c r="B240">
        <v>31</v>
      </c>
      <c r="C240" s="1">
        <v>310753</v>
      </c>
      <c r="D240" s="1">
        <f>C240/4</f>
        <v>77688.25</v>
      </c>
      <c r="E240" t="s">
        <v>6</v>
      </c>
    </row>
    <row r="241" spans="1:12">
      <c r="A241">
        <v>2021</v>
      </c>
      <c r="B241">
        <v>32</v>
      </c>
      <c r="C241" s="1">
        <v>386493</v>
      </c>
      <c r="D241" s="1">
        <f t="shared" si="4"/>
        <v>77298.600000000006</v>
      </c>
      <c r="E241" t="s">
        <v>6</v>
      </c>
    </row>
    <row r="242" spans="1:12">
      <c r="A242">
        <v>2021</v>
      </c>
      <c r="B242">
        <v>33</v>
      </c>
      <c r="C242" s="1">
        <v>296303</v>
      </c>
      <c r="D242" s="1">
        <f t="shared" si="4"/>
        <v>59260.6</v>
      </c>
      <c r="E242" t="s">
        <v>6</v>
      </c>
      <c r="K242" s="1"/>
    </row>
    <row r="243" spans="1:12">
      <c r="A243">
        <v>2021</v>
      </c>
      <c r="B243">
        <v>34</v>
      </c>
      <c r="C243" s="2">
        <v>274147</v>
      </c>
      <c r="D243" s="1">
        <f t="shared" si="4"/>
        <v>54829.4</v>
      </c>
      <c r="E243" t="s">
        <v>6</v>
      </c>
      <c r="H243" s="2"/>
      <c r="K243" s="1"/>
    </row>
    <row r="244" spans="1:12">
      <c r="A244">
        <v>2021</v>
      </c>
      <c r="B244">
        <v>35</v>
      </c>
      <c r="C244" s="2">
        <v>346411</v>
      </c>
      <c r="D244" s="1">
        <f t="shared" si="4"/>
        <v>69282.2</v>
      </c>
      <c r="E244" t="s">
        <v>6</v>
      </c>
      <c r="H244" s="2"/>
      <c r="K244" s="1"/>
    </row>
    <row r="245" spans="1:12">
      <c r="A245">
        <v>2021</v>
      </c>
      <c r="B245">
        <v>36</v>
      </c>
      <c r="C245" s="1">
        <v>215228</v>
      </c>
      <c r="D245" s="1">
        <f>C245/4</f>
        <v>53807</v>
      </c>
      <c r="E245" t="s">
        <v>6</v>
      </c>
      <c r="I245" s="1"/>
    </row>
    <row r="246" spans="1:12">
      <c r="A246">
        <v>2021</v>
      </c>
      <c r="B246">
        <v>37</v>
      </c>
      <c r="C246" s="2">
        <v>266146</v>
      </c>
      <c r="D246" s="1">
        <f>C246/5</f>
        <v>53229.2</v>
      </c>
      <c r="E246" t="s">
        <v>6</v>
      </c>
      <c r="H246" s="2"/>
      <c r="I246" s="1"/>
    </row>
    <row r="247" spans="1:12">
      <c r="A247">
        <v>2021</v>
      </c>
      <c r="B247">
        <v>38</v>
      </c>
      <c r="C247" s="1">
        <v>353770</v>
      </c>
      <c r="D247" s="1">
        <f t="shared" si="4"/>
        <v>70754</v>
      </c>
      <c r="E247" t="s">
        <v>6</v>
      </c>
      <c r="H247" s="2"/>
      <c r="I247" s="1"/>
    </row>
    <row r="248" spans="1:12">
      <c r="A248">
        <v>2021</v>
      </c>
      <c r="B248">
        <v>39</v>
      </c>
      <c r="C248" s="1">
        <v>201227</v>
      </c>
      <c r="D248" s="1">
        <f>C248/4</f>
        <v>50306.75</v>
      </c>
      <c r="E248" t="s">
        <v>6</v>
      </c>
      <c r="H248" s="2"/>
      <c r="K248" s="1"/>
    </row>
    <row r="249" spans="1:12">
      <c r="A249">
        <v>2021</v>
      </c>
      <c r="B249">
        <v>40</v>
      </c>
      <c r="C249" s="1">
        <v>275220</v>
      </c>
      <c r="D249" s="1">
        <f t="shared" si="4"/>
        <v>55044</v>
      </c>
      <c r="E249" t="s">
        <v>6</v>
      </c>
      <c r="K249" s="1"/>
    </row>
    <row r="250" spans="1:12">
      <c r="A250">
        <v>2021</v>
      </c>
      <c r="B250">
        <v>41</v>
      </c>
      <c r="C250" s="1">
        <v>219347</v>
      </c>
      <c r="D250" s="1">
        <f>C250/4</f>
        <v>54836.75</v>
      </c>
      <c r="E250" t="s">
        <v>6</v>
      </c>
      <c r="K250" s="1"/>
    </row>
    <row r="251" spans="1:12">
      <c r="A251">
        <v>2021</v>
      </c>
      <c r="B251">
        <v>42</v>
      </c>
      <c r="C251" s="1">
        <v>305706</v>
      </c>
      <c r="D251" s="1">
        <f t="shared" si="4"/>
        <v>61141.2</v>
      </c>
      <c r="E251" t="s">
        <v>6</v>
      </c>
    </row>
    <row r="252" spans="1:12">
      <c r="A252">
        <v>2021</v>
      </c>
      <c r="B252">
        <v>43</v>
      </c>
      <c r="C252" s="1">
        <v>304869</v>
      </c>
      <c r="D252" s="1">
        <f t="shared" si="4"/>
        <v>60973.8</v>
      </c>
      <c r="E252" t="s">
        <v>6</v>
      </c>
      <c r="J252" s="1"/>
      <c r="L252" s="1"/>
    </row>
    <row r="253" spans="1:12">
      <c r="A253">
        <v>2021</v>
      </c>
      <c r="B253">
        <v>44</v>
      </c>
      <c r="C253" s="1">
        <v>293289</v>
      </c>
      <c r="D253" s="1">
        <f t="shared" si="4"/>
        <v>58657.8</v>
      </c>
      <c r="E253" t="s">
        <v>6</v>
      </c>
      <c r="J253" s="1"/>
      <c r="L253" s="1"/>
    </row>
    <row r="254" spans="1:12">
      <c r="A254">
        <v>2021</v>
      </c>
      <c r="B254">
        <v>45</v>
      </c>
      <c r="C254" s="1">
        <v>270931</v>
      </c>
      <c r="D254" s="1">
        <f t="shared" si="4"/>
        <v>54186.2</v>
      </c>
      <c r="E254" t="s">
        <v>6</v>
      </c>
      <c r="I254" s="1"/>
      <c r="J254" s="3"/>
      <c r="K254" s="1"/>
      <c r="L254" s="1"/>
    </row>
    <row r="255" spans="1:12">
      <c r="A255">
        <v>2021</v>
      </c>
      <c r="B255">
        <v>46</v>
      </c>
      <c r="C255" s="1">
        <v>307288</v>
      </c>
      <c r="D255" s="4">
        <f t="shared" si="4"/>
        <v>61457.599999999999</v>
      </c>
      <c r="E255" t="s">
        <v>6</v>
      </c>
      <c r="I255" s="4"/>
      <c r="K255" s="4"/>
    </row>
    <row r="256" spans="1:12">
      <c r="A256">
        <v>2021</v>
      </c>
      <c r="B256">
        <v>47</v>
      </c>
      <c r="C256" s="1">
        <v>340921</v>
      </c>
      <c r="D256" s="4">
        <f t="shared" si="4"/>
        <v>68184.2</v>
      </c>
      <c r="E256" t="s">
        <v>6</v>
      </c>
      <c r="I256" s="5"/>
      <c r="J256" s="1"/>
      <c r="K256" s="1"/>
    </row>
    <row r="257" spans="1:11">
      <c r="A257">
        <v>2021</v>
      </c>
      <c r="B257">
        <v>48</v>
      </c>
      <c r="C257" s="1">
        <v>322735</v>
      </c>
      <c r="D257" s="4">
        <f t="shared" si="4"/>
        <v>64547</v>
      </c>
      <c r="E257" t="s">
        <v>6</v>
      </c>
      <c r="I257" s="5"/>
      <c r="J257" s="1"/>
    </row>
    <row r="258" spans="1:11">
      <c r="A258">
        <v>2021</v>
      </c>
      <c r="B258">
        <v>49</v>
      </c>
      <c r="C258" s="1">
        <v>449956</v>
      </c>
      <c r="D258" s="4">
        <f t="shared" si="4"/>
        <v>89991.2</v>
      </c>
      <c r="E258" t="s">
        <v>6</v>
      </c>
      <c r="I258" s="5"/>
      <c r="J258" s="1"/>
    </row>
    <row r="259" spans="1:11">
      <c r="A259">
        <v>2021</v>
      </c>
      <c r="B259">
        <v>50</v>
      </c>
      <c r="C259" s="1">
        <v>485733</v>
      </c>
      <c r="D259" s="4">
        <f t="shared" si="4"/>
        <v>97146.6</v>
      </c>
      <c r="E259" t="s">
        <v>6</v>
      </c>
    </row>
    <row r="260" spans="1:11">
      <c r="A260">
        <v>2021</v>
      </c>
      <c r="B260">
        <v>51</v>
      </c>
      <c r="C260" s="1">
        <v>232114</v>
      </c>
      <c r="D260" s="1">
        <f t="shared" ref="D260:D265" si="5">C260/5</f>
        <v>46422.8</v>
      </c>
      <c r="E260" t="s">
        <v>6</v>
      </c>
      <c r="F260">
        <f t="shared" ref="F260:F261" si="6">8250*7</f>
        <v>57750</v>
      </c>
      <c r="J260" s="1"/>
    </row>
    <row r="261" spans="1:11">
      <c r="A261">
        <v>2021</v>
      </c>
      <c r="B261">
        <v>52</v>
      </c>
      <c r="C261" s="1">
        <v>235065</v>
      </c>
      <c r="D261" s="1">
        <f>C261/3</f>
        <v>78355</v>
      </c>
      <c r="E261" t="s">
        <v>6</v>
      </c>
      <c r="F261">
        <f t="shared" si="6"/>
        <v>57750</v>
      </c>
      <c r="J261" s="1"/>
    </row>
    <row r="262" spans="1:11">
      <c r="A262">
        <v>2022</v>
      </c>
      <c r="B262">
        <v>1</v>
      </c>
      <c r="C262" s="1">
        <v>474208</v>
      </c>
      <c r="D262" s="1">
        <f>C262/4</f>
        <v>118552</v>
      </c>
      <c r="E262" t="s">
        <v>6</v>
      </c>
      <c r="F262">
        <f t="shared" ref="F262:F301" si="7">4250*7</f>
        <v>29750</v>
      </c>
      <c r="J262" s="1"/>
    </row>
    <row r="263" spans="1:11">
      <c r="A263">
        <v>2022</v>
      </c>
      <c r="B263">
        <v>2</v>
      </c>
      <c r="C263" s="1">
        <v>453236</v>
      </c>
      <c r="D263" s="1">
        <f t="shared" si="5"/>
        <v>90647.2</v>
      </c>
      <c r="E263" t="s">
        <v>6</v>
      </c>
      <c r="F263">
        <f t="shared" si="7"/>
        <v>29750</v>
      </c>
      <c r="J263" s="1"/>
    </row>
    <row r="264" spans="1:11">
      <c r="A264">
        <v>2022</v>
      </c>
      <c r="B264">
        <v>3</v>
      </c>
      <c r="C264" s="6">
        <v>429933</v>
      </c>
      <c r="D264" s="4">
        <f t="shared" si="5"/>
        <v>85986.6</v>
      </c>
      <c r="E264" t="s">
        <v>6</v>
      </c>
      <c r="F264">
        <f t="shared" si="7"/>
        <v>29750</v>
      </c>
      <c r="J264" s="1"/>
    </row>
    <row r="265" spans="1:11">
      <c r="A265">
        <v>2022</v>
      </c>
      <c r="B265">
        <v>4</v>
      </c>
      <c r="C265" s="1">
        <v>389050</v>
      </c>
      <c r="D265" s="4">
        <f t="shared" si="5"/>
        <v>77810</v>
      </c>
      <c r="E265" t="s">
        <v>6</v>
      </c>
      <c r="F265">
        <f t="shared" si="7"/>
        <v>29750</v>
      </c>
      <c r="I265" s="9"/>
      <c r="J265" s="4"/>
      <c r="K265" s="4"/>
    </row>
    <row r="266" spans="1:11">
      <c r="A266">
        <v>2022</v>
      </c>
      <c r="B266">
        <v>5</v>
      </c>
      <c r="C266" s="1">
        <v>321881</v>
      </c>
      <c r="D266" s="1">
        <f t="shared" ref="D266:D329" si="8">C266/5</f>
        <v>64376.2</v>
      </c>
      <c r="E266" t="s">
        <v>6</v>
      </c>
      <c r="F266">
        <f t="shared" si="7"/>
        <v>29750</v>
      </c>
      <c r="I266" s="3"/>
      <c r="J266" s="1"/>
      <c r="K266" s="1"/>
    </row>
    <row r="267" spans="1:11">
      <c r="A267">
        <v>2022</v>
      </c>
      <c r="B267">
        <v>6</v>
      </c>
      <c r="C267" s="1">
        <v>265750</v>
      </c>
      <c r="D267" s="1">
        <f t="shared" si="8"/>
        <v>53150</v>
      </c>
      <c r="E267" t="s">
        <v>6</v>
      </c>
      <c r="F267">
        <f t="shared" si="7"/>
        <v>29750</v>
      </c>
      <c r="I267" s="3"/>
      <c r="J267" s="1"/>
      <c r="K267" s="1"/>
    </row>
    <row r="268" spans="1:11">
      <c r="A268">
        <v>2022</v>
      </c>
      <c r="B268">
        <v>7</v>
      </c>
      <c r="C268" s="7">
        <v>232301</v>
      </c>
      <c r="D268" s="1">
        <f t="shared" si="8"/>
        <v>46460.2</v>
      </c>
      <c r="E268" t="s">
        <v>6</v>
      </c>
      <c r="F268">
        <f t="shared" si="7"/>
        <v>29750</v>
      </c>
      <c r="J268" s="1"/>
    </row>
    <row r="269" spans="1:11">
      <c r="A269">
        <v>2022</v>
      </c>
      <c r="B269">
        <v>8</v>
      </c>
      <c r="C269" s="7">
        <v>284676</v>
      </c>
      <c r="D269" s="8">
        <f>C269/4</f>
        <v>71169</v>
      </c>
      <c r="E269" t="s">
        <v>6</v>
      </c>
      <c r="F269">
        <f t="shared" si="7"/>
        <v>29750</v>
      </c>
      <c r="I269" s="1"/>
      <c r="J269" s="1"/>
    </row>
    <row r="270" spans="1:11">
      <c r="A270">
        <v>2022</v>
      </c>
      <c r="B270">
        <v>9</v>
      </c>
      <c r="C270" s="4">
        <v>346149</v>
      </c>
      <c r="D270" s="1">
        <f t="shared" si="8"/>
        <v>69229.8</v>
      </c>
      <c r="E270" t="s">
        <v>6</v>
      </c>
      <c r="F270">
        <f t="shared" si="7"/>
        <v>29750</v>
      </c>
      <c r="I270" s="1"/>
      <c r="J270" s="1"/>
    </row>
    <row r="271" spans="1:11">
      <c r="A271">
        <v>2022</v>
      </c>
      <c r="B271">
        <v>10</v>
      </c>
      <c r="C271" s="1">
        <v>347211</v>
      </c>
      <c r="D271" s="1">
        <f t="shared" si="8"/>
        <v>69442.2</v>
      </c>
      <c r="E271" t="s">
        <v>6</v>
      </c>
      <c r="F271">
        <f t="shared" si="7"/>
        <v>29750</v>
      </c>
      <c r="I271" s="1"/>
    </row>
    <row r="272" spans="1:11">
      <c r="A272">
        <v>2022</v>
      </c>
      <c r="B272">
        <v>11</v>
      </c>
      <c r="C272" s="1">
        <v>353690</v>
      </c>
      <c r="D272" s="1">
        <f t="shared" si="8"/>
        <v>70738</v>
      </c>
      <c r="E272" t="s">
        <v>6</v>
      </c>
      <c r="F272">
        <f t="shared" si="7"/>
        <v>29750</v>
      </c>
    </row>
    <row r="273" spans="1:6">
      <c r="A273">
        <v>2022</v>
      </c>
      <c r="B273">
        <v>12</v>
      </c>
      <c r="C273" s="1">
        <v>359829</v>
      </c>
      <c r="D273" s="1">
        <f t="shared" si="8"/>
        <v>71965.8</v>
      </c>
      <c r="E273" t="s">
        <v>6</v>
      </c>
      <c r="F273">
        <f t="shared" si="7"/>
        <v>29750</v>
      </c>
    </row>
    <row r="274" spans="1:6">
      <c r="A274">
        <v>2022</v>
      </c>
      <c r="B274">
        <v>13</v>
      </c>
      <c r="C274" s="1">
        <v>349892</v>
      </c>
      <c r="D274" s="1">
        <f t="shared" si="8"/>
        <v>69978.399999999994</v>
      </c>
      <c r="E274" t="s">
        <v>6</v>
      </c>
      <c r="F274">
        <f t="shared" si="7"/>
        <v>29750</v>
      </c>
    </row>
    <row r="275" spans="1:6">
      <c r="A275">
        <v>2022</v>
      </c>
      <c r="B275">
        <v>14</v>
      </c>
      <c r="C275" s="7">
        <v>390615</v>
      </c>
      <c r="D275" s="1">
        <f t="shared" si="8"/>
        <v>78123</v>
      </c>
      <c r="E275" t="s">
        <v>6</v>
      </c>
      <c r="F275">
        <f t="shared" si="7"/>
        <v>29750</v>
      </c>
    </row>
    <row r="276" spans="1:6">
      <c r="A276">
        <v>2022</v>
      </c>
      <c r="B276">
        <v>15</v>
      </c>
      <c r="C276" s="7">
        <v>311055</v>
      </c>
      <c r="D276" s="1">
        <f>C276/4</f>
        <v>77763.75</v>
      </c>
      <c r="E276" t="s">
        <v>6</v>
      </c>
      <c r="F276">
        <f t="shared" si="7"/>
        <v>29750</v>
      </c>
    </row>
    <row r="277" spans="1:6">
      <c r="A277">
        <v>2022</v>
      </c>
      <c r="B277">
        <v>16</v>
      </c>
      <c r="C277" s="7">
        <v>374941</v>
      </c>
      <c r="D277" s="1">
        <f t="shared" si="8"/>
        <v>74988.2</v>
      </c>
      <c r="E277" t="s">
        <v>6</v>
      </c>
      <c r="F277">
        <f t="shared" si="7"/>
        <v>29750</v>
      </c>
    </row>
    <row r="278" spans="1:6">
      <c r="A278">
        <v>2022</v>
      </c>
      <c r="B278">
        <v>17</v>
      </c>
      <c r="C278" s="7">
        <v>375085</v>
      </c>
      <c r="D278" s="1">
        <f t="shared" si="8"/>
        <v>75017</v>
      </c>
      <c r="E278" t="s">
        <v>6</v>
      </c>
      <c r="F278">
        <f t="shared" si="7"/>
        <v>29750</v>
      </c>
    </row>
    <row r="279" spans="1:6">
      <c r="A279">
        <v>2022</v>
      </c>
      <c r="B279">
        <v>18</v>
      </c>
      <c r="C279" s="7">
        <v>420262</v>
      </c>
      <c r="D279" s="1">
        <f t="shared" si="8"/>
        <v>84052.4</v>
      </c>
      <c r="E279" t="s">
        <v>6</v>
      </c>
      <c r="F279">
        <f t="shared" si="7"/>
        <v>29750</v>
      </c>
    </row>
    <row r="280" spans="1:6">
      <c r="A280">
        <v>2022</v>
      </c>
      <c r="B280">
        <v>19</v>
      </c>
      <c r="C280" s="7">
        <v>430958</v>
      </c>
      <c r="D280" s="1">
        <f t="shared" si="8"/>
        <v>86191.6</v>
      </c>
      <c r="E280" t="s">
        <v>6</v>
      </c>
      <c r="F280">
        <f t="shared" si="7"/>
        <v>29750</v>
      </c>
    </row>
    <row r="281" spans="1:6">
      <c r="A281">
        <v>2022</v>
      </c>
      <c r="B281">
        <v>20</v>
      </c>
      <c r="C281" s="7">
        <v>349527</v>
      </c>
      <c r="D281" s="1">
        <f t="shared" si="8"/>
        <v>69905.399999999994</v>
      </c>
      <c r="E281" t="s">
        <v>6</v>
      </c>
      <c r="F281">
        <f t="shared" si="7"/>
        <v>29750</v>
      </c>
    </row>
    <row r="282" spans="1:6">
      <c r="A282">
        <v>2022</v>
      </c>
      <c r="B282">
        <v>21</v>
      </c>
      <c r="C282" s="7">
        <v>279635</v>
      </c>
      <c r="D282" s="1">
        <f>C282/4</f>
        <v>69908.75</v>
      </c>
      <c r="E282" t="s">
        <v>6</v>
      </c>
      <c r="F282">
        <f t="shared" si="7"/>
        <v>29750</v>
      </c>
    </row>
    <row r="283" spans="1:6">
      <c r="A283">
        <v>2022</v>
      </c>
      <c r="B283">
        <v>22</v>
      </c>
      <c r="C283" s="7">
        <v>368969</v>
      </c>
      <c r="D283" s="1">
        <f t="shared" si="8"/>
        <v>73793.8</v>
      </c>
      <c r="E283" t="s">
        <v>6</v>
      </c>
      <c r="F283">
        <f t="shared" si="7"/>
        <v>29750</v>
      </c>
    </row>
    <row r="284" spans="1:6">
      <c r="A284">
        <v>2022</v>
      </c>
      <c r="B284">
        <v>23</v>
      </c>
      <c r="C284" s="7">
        <v>383910</v>
      </c>
      <c r="D284" s="1">
        <f t="shared" si="8"/>
        <v>76782</v>
      </c>
      <c r="E284" t="s">
        <v>6</v>
      </c>
      <c r="F284">
        <f t="shared" si="7"/>
        <v>29750</v>
      </c>
    </row>
    <row r="285" spans="1:6">
      <c r="A285">
        <v>2022</v>
      </c>
      <c r="B285">
        <v>24</v>
      </c>
      <c r="C285" s="7">
        <v>372149</v>
      </c>
      <c r="D285" s="1">
        <f t="shared" si="8"/>
        <v>74429.8</v>
      </c>
      <c r="E285" t="s">
        <v>6</v>
      </c>
      <c r="F285">
        <f t="shared" si="7"/>
        <v>29750</v>
      </c>
    </row>
    <row r="286" spans="1:6">
      <c r="A286">
        <v>2022</v>
      </c>
      <c r="B286">
        <v>25</v>
      </c>
      <c r="C286" s="7">
        <v>380486</v>
      </c>
      <c r="D286" s="1">
        <f t="shared" si="8"/>
        <v>76097.2</v>
      </c>
      <c r="E286" t="s">
        <v>6</v>
      </c>
      <c r="F286">
        <f t="shared" si="7"/>
        <v>29750</v>
      </c>
    </row>
    <row r="287" spans="1:6">
      <c r="A287">
        <v>2022</v>
      </c>
      <c r="B287">
        <v>26</v>
      </c>
      <c r="C287" s="7">
        <v>319247</v>
      </c>
      <c r="D287" s="1">
        <f>C287/4</f>
        <v>79811.75</v>
      </c>
      <c r="E287" t="s">
        <v>6</v>
      </c>
      <c r="F287">
        <f t="shared" si="7"/>
        <v>29750</v>
      </c>
    </row>
    <row r="288" spans="1:6">
      <c r="A288">
        <v>2022</v>
      </c>
      <c r="B288">
        <v>27</v>
      </c>
      <c r="C288" s="7">
        <v>394043</v>
      </c>
      <c r="D288" s="1">
        <f t="shared" si="8"/>
        <v>78808.600000000006</v>
      </c>
      <c r="E288" t="s">
        <v>6</v>
      </c>
      <c r="F288">
        <f t="shared" si="7"/>
        <v>29750</v>
      </c>
    </row>
    <row r="289" spans="1:6">
      <c r="A289">
        <v>2022</v>
      </c>
      <c r="B289">
        <v>28</v>
      </c>
      <c r="C289" s="7">
        <v>458749</v>
      </c>
      <c r="D289" s="1">
        <f t="shared" si="8"/>
        <v>91749.8</v>
      </c>
      <c r="E289" t="s">
        <v>6</v>
      </c>
      <c r="F289">
        <f t="shared" si="7"/>
        <v>29750</v>
      </c>
    </row>
    <row r="290" spans="1:6">
      <c r="A290">
        <v>2022</v>
      </c>
      <c r="B290">
        <v>29</v>
      </c>
      <c r="C290" s="7">
        <v>438487</v>
      </c>
      <c r="D290" s="1">
        <f t="shared" si="8"/>
        <v>87697.4</v>
      </c>
      <c r="E290" t="s">
        <v>6</v>
      </c>
      <c r="F290">
        <f t="shared" si="7"/>
        <v>29750</v>
      </c>
    </row>
    <row r="291" spans="1:6">
      <c r="A291">
        <v>2022</v>
      </c>
      <c r="B291">
        <v>30</v>
      </c>
      <c r="C291" s="7">
        <v>398458</v>
      </c>
      <c r="D291" s="1">
        <f t="shared" si="8"/>
        <v>79691.600000000006</v>
      </c>
      <c r="E291" t="s">
        <v>6</v>
      </c>
      <c r="F291">
        <f t="shared" si="7"/>
        <v>29750</v>
      </c>
    </row>
    <row r="292" spans="1:6">
      <c r="A292">
        <v>2022</v>
      </c>
      <c r="B292">
        <v>31</v>
      </c>
      <c r="C292" s="7">
        <v>337973</v>
      </c>
      <c r="D292" s="1">
        <f>C292/4</f>
        <v>84493.25</v>
      </c>
      <c r="E292" t="s">
        <v>6</v>
      </c>
      <c r="F292">
        <f t="shared" si="7"/>
        <v>29750</v>
      </c>
    </row>
    <row r="293" spans="1:6">
      <c r="A293">
        <v>2022</v>
      </c>
      <c r="B293">
        <v>32</v>
      </c>
      <c r="C293" s="7">
        <v>424224</v>
      </c>
      <c r="D293" s="1">
        <f t="shared" si="8"/>
        <v>84844.800000000003</v>
      </c>
      <c r="E293" t="s">
        <v>6</v>
      </c>
      <c r="F293">
        <f t="shared" si="7"/>
        <v>29750</v>
      </c>
    </row>
    <row r="294" spans="1:6">
      <c r="A294">
        <v>2022</v>
      </c>
      <c r="B294">
        <v>33</v>
      </c>
      <c r="C294" s="7">
        <v>403074</v>
      </c>
      <c r="D294" s="1">
        <f t="shared" si="8"/>
        <v>80614.8</v>
      </c>
      <c r="E294" t="s">
        <v>6</v>
      </c>
      <c r="F294">
        <f t="shared" si="7"/>
        <v>29750</v>
      </c>
    </row>
    <row r="295" spans="1:6">
      <c r="A295">
        <v>2022</v>
      </c>
      <c r="B295">
        <v>34</v>
      </c>
      <c r="C295" s="7">
        <v>395435</v>
      </c>
      <c r="D295" s="1">
        <f t="shared" si="8"/>
        <v>79087</v>
      </c>
      <c r="E295" t="s">
        <v>6</v>
      </c>
      <c r="F295">
        <f t="shared" si="7"/>
        <v>29750</v>
      </c>
    </row>
    <row r="296" spans="1:6">
      <c r="A296">
        <v>2022</v>
      </c>
      <c r="B296">
        <v>35</v>
      </c>
      <c r="C296" s="7">
        <v>378735</v>
      </c>
      <c r="D296" s="1">
        <f t="shared" si="8"/>
        <v>75747</v>
      </c>
      <c r="E296" t="s">
        <v>6</v>
      </c>
      <c r="F296">
        <f t="shared" si="7"/>
        <v>29750</v>
      </c>
    </row>
    <row r="297" spans="1:6">
      <c r="A297">
        <v>2022</v>
      </c>
      <c r="B297">
        <v>36</v>
      </c>
      <c r="C297" s="7">
        <v>330173</v>
      </c>
      <c r="D297" s="1">
        <f>C297/4</f>
        <v>82543.25</v>
      </c>
      <c r="E297" t="s">
        <v>6</v>
      </c>
      <c r="F297">
        <f t="shared" si="7"/>
        <v>29750</v>
      </c>
    </row>
    <row r="298" spans="1:6">
      <c r="A298">
        <v>2022</v>
      </c>
      <c r="B298">
        <v>37</v>
      </c>
      <c r="C298" s="7">
        <v>412893</v>
      </c>
      <c r="D298" s="1">
        <f t="shared" si="8"/>
        <v>82578.600000000006</v>
      </c>
      <c r="E298" t="s">
        <v>6</v>
      </c>
      <c r="F298">
        <f t="shared" si="7"/>
        <v>29750</v>
      </c>
    </row>
    <row r="299" spans="1:6">
      <c r="A299">
        <v>2022</v>
      </c>
      <c r="B299">
        <v>38</v>
      </c>
      <c r="C299" s="7">
        <v>379249</v>
      </c>
      <c r="D299" s="1">
        <f t="shared" si="8"/>
        <v>75849.8</v>
      </c>
      <c r="E299" t="s">
        <v>6</v>
      </c>
      <c r="F299">
        <f t="shared" si="7"/>
        <v>29750</v>
      </c>
    </row>
    <row r="300" spans="1:6">
      <c r="A300">
        <v>2022</v>
      </c>
      <c r="B300">
        <v>39</v>
      </c>
      <c r="C300" s="7">
        <v>319172</v>
      </c>
      <c r="D300" s="1">
        <f>C300/4</f>
        <v>79793</v>
      </c>
      <c r="E300" t="s">
        <v>6</v>
      </c>
      <c r="F300">
        <f t="shared" si="7"/>
        <v>29750</v>
      </c>
    </row>
    <row r="301" spans="1:6">
      <c r="A301">
        <v>2022</v>
      </c>
      <c r="B301">
        <v>40</v>
      </c>
      <c r="C301" s="7">
        <v>402493</v>
      </c>
      <c r="D301" s="1">
        <f>C301/5</f>
        <v>80498.600000000006</v>
      </c>
      <c r="E301" t="s">
        <v>6</v>
      </c>
      <c r="F301">
        <f t="shared" si="7"/>
        <v>29750</v>
      </c>
    </row>
    <row r="302" spans="1:6">
      <c r="A302">
        <v>2022</v>
      </c>
      <c r="B302">
        <v>41</v>
      </c>
      <c r="C302" s="7">
        <v>353761</v>
      </c>
      <c r="D302" s="1">
        <f>C302/4</f>
        <v>88440.25</v>
      </c>
      <c r="E302" t="s">
        <v>6</v>
      </c>
      <c r="F302">
        <f t="shared" ref="F302:F308" si="9">4250*7</f>
        <v>29750</v>
      </c>
    </row>
    <row r="303" spans="1:6">
      <c r="A303">
        <v>2022</v>
      </c>
      <c r="B303">
        <v>42</v>
      </c>
      <c r="C303" s="7">
        <v>437500</v>
      </c>
      <c r="D303" s="1">
        <f t="shared" si="8"/>
        <v>87500</v>
      </c>
      <c r="E303" t="s">
        <v>6</v>
      </c>
      <c r="F303">
        <f t="shared" si="9"/>
        <v>29750</v>
      </c>
    </row>
    <row r="304" spans="1:6">
      <c r="A304">
        <v>2022</v>
      </c>
      <c r="B304">
        <v>43</v>
      </c>
      <c r="C304" s="7">
        <v>419360</v>
      </c>
      <c r="D304" s="1">
        <f t="shared" si="8"/>
        <v>83872</v>
      </c>
      <c r="E304" t="s">
        <v>6</v>
      </c>
      <c r="F304">
        <f t="shared" si="9"/>
        <v>29750</v>
      </c>
    </row>
    <row r="305" spans="1:6">
      <c r="A305">
        <v>2022</v>
      </c>
      <c r="B305">
        <v>44</v>
      </c>
      <c r="C305" s="7">
        <v>378788</v>
      </c>
      <c r="D305" s="1">
        <f t="shared" si="8"/>
        <v>75757.600000000006</v>
      </c>
      <c r="E305" t="s">
        <v>6</v>
      </c>
      <c r="F305">
        <f t="shared" si="9"/>
        <v>29750</v>
      </c>
    </row>
    <row r="306" spans="1:6">
      <c r="A306">
        <v>2022</v>
      </c>
      <c r="B306">
        <v>45</v>
      </c>
      <c r="C306" s="7">
        <v>348985</v>
      </c>
      <c r="D306" s="1">
        <f t="shared" si="8"/>
        <v>69797</v>
      </c>
      <c r="E306" t="s">
        <v>6</v>
      </c>
      <c r="F306">
        <f t="shared" si="9"/>
        <v>29750</v>
      </c>
    </row>
    <row r="307" spans="1:6">
      <c r="A307">
        <v>2022</v>
      </c>
      <c r="B307">
        <v>46</v>
      </c>
      <c r="C307" s="7">
        <v>368122</v>
      </c>
      <c r="D307" s="1">
        <f t="shared" si="8"/>
        <v>73624.399999999994</v>
      </c>
      <c r="E307" t="s">
        <v>6</v>
      </c>
      <c r="F307">
        <f t="shared" si="9"/>
        <v>29750</v>
      </c>
    </row>
    <row r="308" spans="1:6">
      <c r="A308">
        <v>2022</v>
      </c>
      <c r="B308">
        <v>47</v>
      </c>
      <c r="C308" s="7">
        <v>413742</v>
      </c>
      <c r="D308" s="1">
        <f t="shared" si="8"/>
        <v>82748.399999999994</v>
      </c>
      <c r="E308" t="s">
        <v>6</v>
      </c>
      <c r="F308">
        <f t="shared" si="9"/>
        <v>29750</v>
      </c>
    </row>
    <row r="309" spans="1:6">
      <c r="A309">
        <v>2022</v>
      </c>
      <c r="B309">
        <v>48</v>
      </c>
      <c r="C309" s="7">
        <v>464463</v>
      </c>
      <c r="D309" s="1">
        <f t="shared" si="8"/>
        <v>92892.6</v>
      </c>
      <c r="E309" t="s">
        <v>6</v>
      </c>
      <c r="F309">
        <f>8250*7</f>
        <v>57750</v>
      </c>
    </row>
    <row r="310" spans="1:6">
      <c r="A310">
        <v>2022</v>
      </c>
      <c r="B310">
        <v>49</v>
      </c>
      <c r="C310" s="7">
        <v>491738</v>
      </c>
      <c r="D310" s="1">
        <f t="shared" si="8"/>
        <v>98347.6</v>
      </c>
      <c r="E310" t="s">
        <v>6</v>
      </c>
      <c r="F310">
        <f t="shared" ref="F310" si="10">8250*7</f>
        <v>57750</v>
      </c>
    </row>
    <row r="311" spans="1:6">
      <c r="A311">
        <v>2022</v>
      </c>
      <c r="B311">
        <v>50</v>
      </c>
      <c r="C311" s="7">
        <v>439995</v>
      </c>
      <c r="D311" s="1">
        <f t="shared" si="8"/>
        <v>87999</v>
      </c>
      <c r="E311" t="s">
        <v>6</v>
      </c>
      <c r="F311">
        <f>5250*7</f>
        <v>36750</v>
      </c>
    </row>
    <row r="312" spans="1:6">
      <c r="A312">
        <v>2022</v>
      </c>
      <c r="B312">
        <v>51</v>
      </c>
      <c r="C312" s="7">
        <v>377190</v>
      </c>
      <c r="D312" s="1">
        <f t="shared" si="8"/>
        <v>75438</v>
      </c>
      <c r="E312" t="s">
        <v>6</v>
      </c>
      <c r="F312">
        <f>4000*7</f>
        <v>28000</v>
      </c>
    </row>
    <row r="313" spans="1:6">
      <c r="A313">
        <v>2022</v>
      </c>
      <c r="B313">
        <v>52</v>
      </c>
      <c r="C313" s="7">
        <v>241103</v>
      </c>
      <c r="D313" s="1">
        <f>C313/3</f>
        <v>80367.666666666672</v>
      </c>
      <c r="E313" t="s">
        <v>6</v>
      </c>
      <c r="F313">
        <f>3000*7</f>
        <v>21000</v>
      </c>
    </row>
    <row r="314" spans="1:6">
      <c r="A314">
        <v>2023</v>
      </c>
      <c r="B314">
        <v>1</v>
      </c>
      <c r="C314" s="1">
        <v>323746</v>
      </c>
      <c r="D314" s="1">
        <f>C314/4</f>
        <v>80936.5</v>
      </c>
      <c r="E314" t="s">
        <v>6</v>
      </c>
      <c r="F314">
        <f>2000*7</f>
        <v>14000</v>
      </c>
    </row>
    <row r="315" spans="1:6">
      <c r="A315">
        <v>2023</v>
      </c>
      <c r="B315">
        <v>2</v>
      </c>
      <c r="C315" s="1">
        <v>341546</v>
      </c>
      <c r="D315" s="1">
        <f t="shared" si="8"/>
        <v>68309.2</v>
      </c>
      <c r="E315" t="s">
        <v>6</v>
      </c>
      <c r="F315">
        <f t="shared" ref="F315:F376" si="11">2000*7</f>
        <v>14000</v>
      </c>
    </row>
    <row r="316" spans="1:6">
      <c r="A316">
        <v>2023</v>
      </c>
      <c r="B316">
        <v>3</v>
      </c>
      <c r="C316" s="1">
        <v>298266</v>
      </c>
      <c r="D316" s="1">
        <f t="shared" si="8"/>
        <v>59653.2</v>
      </c>
      <c r="E316" t="s">
        <v>6</v>
      </c>
      <c r="F316">
        <f t="shared" si="11"/>
        <v>14000</v>
      </c>
    </row>
    <row r="317" spans="1:6">
      <c r="A317">
        <v>2023</v>
      </c>
      <c r="B317">
        <v>4</v>
      </c>
      <c r="C317" s="1">
        <v>316555</v>
      </c>
      <c r="D317" s="1">
        <f t="shared" si="8"/>
        <v>63311</v>
      </c>
      <c r="E317" t="s">
        <v>6</v>
      </c>
      <c r="F317">
        <f t="shared" si="11"/>
        <v>14000</v>
      </c>
    </row>
    <row r="318" spans="1:6">
      <c r="A318">
        <v>2023</v>
      </c>
      <c r="B318">
        <v>5</v>
      </c>
      <c r="C318" s="1">
        <v>313507</v>
      </c>
      <c r="D318" s="1">
        <f t="shared" si="8"/>
        <v>62701.4</v>
      </c>
      <c r="E318" t="s">
        <v>6</v>
      </c>
      <c r="F318">
        <f t="shared" si="11"/>
        <v>14000</v>
      </c>
    </row>
    <row r="319" spans="1:6">
      <c r="A319">
        <v>2023</v>
      </c>
      <c r="B319">
        <v>6</v>
      </c>
      <c r="C319" s="1">
        <v>336800</v>
      </c>
      <c r="D319" s="1">
        <f t="shared" si="8"/>
        <v>67360</v>
      </c>
      <c r="E319" t="s">
        <v>6</v>
      </c>
      <c r="F319">
        <f t="shared" si="11"/>
        <v>14000</v>
      </c>
    </row>
    <row r="320" spans="1:6">
      <c r="A320">
        <v>2023</v>
      </c>
      <c r="B320">
        <v>7</v>
      </c>
      <c r="C320" s="1">
        <v>300293</v>
      </c>
      <c r="D320" s="1">
        <f t="shared" si="8"/>
        <v>60058.6</v>
      </c>
      <c r="E320" t="s">
        <v>6</v>
      </c>
      <c r="F320">
        <f t="shared" si="11"/>
        <v>14000</v>
      </c>
    </row>
    <row r="321" spans="1:6">
      <c r="A321">
        <v>2023</v>
      </c>
      <c r="B321">
        <v>8</v>
      </c>
      <c r="C321" s="1">
        <v>254798</v>
      </c>
      <c r="D321" s="1">
        <f>C321/4</f>
        <v>63699.5</v>
      </c>
      <c r="E321" t="s">
        <v>6</v>
      </c>
      <c r="F321">
        <f t="shared" si="11"/>
        <v>14000</v>
      </c>
    </row>
    <row r="322" spans="1:6">
      <c r="A322">
        <v>2023</v>
      </c>
      <c r="B322">
        <v>9</v>
      </c>
      <c r="C322" s="1">
        <v>303188</v>
      </c>
      <c r="D322" s="1">
        <f t="shared" si="8"/>
        <v>60637.599999999999</v>
      </c>
      <c r="E322" t="s">
        <v>6</v>
      </c>
      <c r="F322">
        <f t="shared" si="11"/>
        <v>14000</v>
      </c>
    </row>
    <row r="323" spans="1:6">
      <c r="A323">
        <v>2023</v>
      </c>
      <c r="B323">
        <v>10</v>
      </c>
      <c r="C323" s="1">
        <v>320250</v>
      </c>
      <c r="D323" s="1">
        <f t="shared" si="8"/>
        <v>64050</v>
      </c>
      <c r="E323" t="s">
        <v>6</v>
      </c>
      <c r="F323">
        <f t="shared" si="11"/>
        <v>14000</v>
      </c>
    </row>
    <row r="324" spans="1:6">
      <c r="A324">
        <v>2023</v>
      </c>
      <c r="B324">
        <v>11</v>
      </c>
      <c r="C324" s="1">
        <v>314256</v>
      </c>
      <c r="D324" s="1">
        <f t="shared" si="8"/>
        <v>62851.199999999997</v>
      </c>
      <c r="E324" t="s">
        <v>6</v>
      </c>
      <c r="F324">
        <f t="shared" si="11"/>
        <v>14000</v>
      </c>
    </row>
    <row r="325" spans="1:6">
      <c r="A325">
        <v>2023</v>
      </c>
      <c r="B325">
        <v>12</v>
      </c>
      <c r="C325" s="1">
        <v>325244</v>
      </c>
      <c r="D325" s="1">
        <f t="shared" si="8"/>
        <v>65048.800000000003</v>
      </c>
      <c r="E325" t="s">
        <v>6</v>
      </c>
      <c r="F325">
        <f t="shared" si="11"/>
        <v>14000</v>
      </c>
    </row>
    <row r="326" spans="1:6">
      <c r="A326">
        <v>2023</v>
      </c>
      <c r="B326">
        <v>13</v>
      </c>
      <c r="C326" s="1">
        <v>328341</v>
      </c>
      <c r="D326" s="1">
        <f t="shared" si="8"/>
        <v>65668.2</v>
      </c>
      <c r="E326" t="s">
        <v>6</v>
      </c>
      <c r="F326">
        <f t="shared" si="11"/>
        <v>14000</v>
      </c>
    </row>
    <row r="327" spans="1:6">
      <c r="A327">
        <v>2023</v>
      </c>
      <c r="B327">
        <v>14</v>
      </c>
      <c r="C327" s="1">
        <v>247846</v>
      </c>
      <c r="D327" s="1">
        <f>C327/4</f>
        <v>61961.5</v>
      </c>
      <c r="E327" t="s">
        <v>6</v>
      </c>
      <c r="F327">
        <f t="shared" si="11"/>
        <v>14000</v>
      </c>
    </row>
    <row r="328" spans="1:6">
      <c r="A328">
        <v>2023</v>
      </c>
      <c r="B328">
        <v>15</v>
      </c>
      <c r="C328" s="1">
        <v>350828</v>
      </c>
      <c r="D328" s="1">
        <f t="shared" si="8"/>
        <v>70165.600000000006</v>
      </c>
      <c r="E328" t="s">
        <v>6</v>
      </c>
      <c r="F328">
        <f t="shared" si="11"/>
        <v>14000</v>
      </c>
    </row>
    <row r="329" spans="1:6">
      <c r="A329">
        <v>2023</v>
      </c>
      <c r="B329">
        <v>16</v>
      </c>
      <c r="C329" s="1">
        <v>335752</v>
      </c>
      <c r="D329" s="1">
        <f t="shared" si="8"/>
        <v>67150.399999999994</v>
      </c>
      <c r="E329" t="s">
        <v>6</v>
      </c>
      <c r="F329">
        <f t="shared" si="11"/>
        <v>14000</v>
      </c>
    </row>
    <row r="330" spans="1:6">
      <c r="A330">
        <v>2023</v>
      </c>
      <c r="B330">
        <v>17</v>
      </c>
      <c r="C330" s="1">
        <v>350919</v>
      </c>
      <c r="D330" s="1">
        <f t="shared" ref="D330:D364" si="12">C330/5</f>
        <v>70183.8</v>
      </c>
      <c r="E330" t="s">
        <v>6</v>
      </c>
      <c r="F330">
        <f t="shared" si="11"/>
        <v>14000</v>
      </c>
    </row>
    <row r="331" spans="1:6">
      <c r="A331">
        <v>2023</v>
      </c>
      <c r="B331">
        <v>18</v>
      </c>
      <c r="C331" s="1">
        <v>345157</v>
      </c>
      <c r="D331" s="1">
        <f t="shared" si="12"/>
        <v>69031.399999999994</v>
      </c>
      <c r="E331" t="s">
        <v>6</v>
      </c>
      <c r="F331">
        <f t="shared" si="11"/>
        <v>14000</v>
      </c>
    </row>
    <row r="332" spans="1:6">
      <c r="A332">
        <v>2023</v>
      </c>
      <c r="B332">
        <v>19</v>
      </c>
      <c r="C332" s="1">
        <v>364590</v>
      </c>
      <c r="D332" s="1">
        <f t="shared" si="12"/>
        <v>72918</v>
      </c>
      <c r="E332" t="s">
        <v>6</v>
      </c>
      <c r="F332">
        <f t="shared" si="11"/>
        <v>14000</v>
      </c>
    </row>
    <row r="333" spans="1:6">
      <c r="A333">
        <v>2023</v>
      </c>
      <c r="B333">
        <v>20</v>
      </c>
      <c r="C333" s="1">
        <v>351995</v>
      </c>
      <c r="D333" s="1">
        <f t="shared" si="12"/>
        <v>70399</v>
      </c>
      <c r="E333" t="s">
        <v>6</v>
      </c>
      <c r="F333">
        <f t="shared" si="11"/>
        <v>14000</v>
      </c>
    </row>
    <row r="334" spans="1:6">
      <c r="A334">
        <v>2023</v>
      </c>
      <c r="B334">
        <v>21</v>
      </c>
      <c r="C334" s="1">
        <v>281026</v>
      </c>
      <c r="D334" s="1">
        <f>C334/4</f>
        <v>70256.5</v>
      </c>
      <c r="E334" t="s">
        <v>6</v>
      </c>
      <c r="F334">
        <f t="shared" si="11"/>
        <v>14000</v>
      </c>
    </row>
    <row r="335" spans="1:6">
      <c r="A335">
        <v>2023</v>
      </c>
      <c r="B335">
        <v>22</v>
      </c>
      <c r="C335" s="1">
        <v>353735</v>
      </c>
      <c r="D335" s="1">
        <f t="shared" si="12"/>
        <v>70747</v>
      </c>
      <c r="E335" t="s">
        <v>6</v>
      </c>
      <c r="F335">
        <f t="shared" si="11"/>
        <v>14000</v>
      </c>
    </row>
    <row r="336" spans="1:6">
      <c r="A336">
        <v>2023</v>
      </c>
      <c r="B336">
        <v>23</v>
      </c>
      <c r="C336" s="1">
        <v>348782</v>
      </c>
      <c r="D336" s="1">
        <f t="shared" si="12"/>
        <v>69756.399999999994</v>
      </c>
      <c r="E336" t="s">
        <v>6</v>
      </c>
      <c r="F336">
        <f t="shared" si="11"/>
        <v>14000</v>
      </c>
    </row>
    <row r="337" spans="1:8">
      <c r="A337">
        <v>2023</v>
      </c>
      <c r="B337">
        <v>24</v>
      </c>
      <c r="C337" s="1">
        <v>344257</v>
      </c>
      <c r="D337" s="1">
        <f t="shared" si="12"/>
        <v>68851.399999999994</v>
      </c>
      <c r="E337" t="s">
        <v>6</v>
      </c>
      <c r="F337">
        <f t="shared" si="11"/>
        <v>14000</v>
      </c>
    </row>
    <row r="338" spans="1:8">
      <c r="A338">
        <v>2023</v>
      </c>
      <c r="B338">
        <v>25</v>
      </c>
      <c r="C338" s="1">
        <v>347755</v>
      </c>
      <c r="D338" s="1">
        <f t="shared" si="12"/>
        <v>69551</v>
      </c>
      <c r="E338" t="s">
        <v>6</v>
      </c>
      <c r="F338">
        <f t="shared" si="11"/>
        <v>14000</v>
      </c>
    </row>
    <row r="339" spans="1:8">
      <c r="A339">
        <v>2023</v>
      </c>
      <c r="B339">
        <v>26</v>
      </c>
      <c r="C339" s="1">
        <v>322053</v>
      </c>
      <c r="D339" s="1">
        <f t="shared" si="12"/>
        <v>64410.6</v>
      </c>
      <c r="E339" t="s">
        <v>6</v>
      </c>
      <c r="F339">
        <f t="shared" si="11"/>
        <v>14000</v>
      </c>
    </row>
    <row r="340" spans="1:8">
      <c r="A340">
        <v>2023</v>
      </c>
      <c r="B340">
        <v>27</v>
      </c>
      <c r="C340" s="1">
        <v>277668</v>
      </c>
      <c r="D340" s="1">
        <f>C340/4</f>
        <v>69417</v>
      </c>
      <c r="E340" t="s">
        <v>6</v>
      </c>
      <c r="F340">
        <f t="shared" si="11"/>
        <v>14000</v>
      </c>
    </row>
    <row r="341" spans="1:8">
      <c r="A341">
        <v>2023</v>
      </c>
      <c r="B341">
        <v>28</v>
      </c>
      <c r="C341" s="1">
        <v>381648</v>
      </c>
      <c r="D341" s="1">
        <f t="shared" si="12"/>
        <v>76329.600000000006</v>
      </c>
      <c r="E341" t="s">
        <v>6</v>
      </c>
      <c r="F341">
        <f t="shared" si="11"/>
        <v>14000</v>
      </c>
      <c r="H341" s="10"/>
    </row>
    <row r="342" spans="1:8">
      <c r="A342">
        <v>2023</v>
      </c>
      <c r="B342">
        <v>29</v>
      </c>
      <c r="C342" s="1">
        <v>420325</v>
      </c>
      <c r="D342" s="1">
        <f t="shared" si="12"/>
        <v>84065</v>
      </c>
      <c r="E342" t="s">
        <v>6</v>
      </c>
      <c r="F342">
        <f t="shared" si="11"/>
        <v>14000</v>
      </c>
    </row>
    <row r="343" spans="1:8">
      <c r="A343">
        <v>2023</v>
      </c>
      <c r="B343">
        <v>30</v>
      </c>
      <c r="C343" s="1">
        <v>368786</v>
      </c>
      <c r="D343" s="1">
        <f t="shared" si="12"/>
        <v>73757.2</v>
      </c>
      <c r="E343" t="s">
        <v>6</v>
      </c>
      <c r="F343">
        <f t="shared" si="11"/>
        <v>14000</v>
      </c>
    </row>
    <row r="344" spans="1:8">
      <c r="A344">
        <v>2023</v>
      </c>
      <c r="B344">
        <v>31</v>
      </c>
      <c r="C344" s="1">
        <v>342546</v>
      </c>
      <c r="D344" s="1">
        <f t="shared" si="12"/>
        <v>68509.2</v>
      </c>
      <c r="E344" t="s">
        <v>6</v>
      </c>
      <c r="F344">
        <f t="shared" si="11"/>
        <v>14000</v>
      </c>
    </row>
    <row r="345" spans="1:8">
      <c r="A345">
        <v>2023</v>
      </c>
      <c r="B345">
        <v>32</v>
      </c>
      <c r="C345" s="1">
        <v>265321</v>
      </c>
      <c r="D345" s="1">
        <f>C345/4</f>
        <v>66330.25</v>
      </c>
      <c r="E345" t="s">
        <v>6</v>
      </c>
      <c r="F345">
        <f t="shared" si="11"/>
        <v>14000</v>
      </c>
    </row>
    <row r="346" spans="1:8">
      <c r="A346">
        <v>2023</v>
      </c>
      <c r="B346">
        <v>33</v>
      </c>
      <c r="C346" s="1">
        <v>343636</v>
      </c>
      <c r="D346" s="1">
        <f t="shared" si="12"/>
        <v>68727.199999999997</v>
      </c>
      <c r="E346" t="s">
        <v>6</v>
      </c>
      <c r="F346">
        <f t="shared" si="11"/>
        <v>14000</v>
      </c>
    </row>
    <row r="347" spans="1:8">
      <c r="A347">
        <v>2023</v>
      </c>
      <c r="B347">
        <v>34</v>
      </c>
      <c r="C347" s="1">
        <v>334773</v>
      </c>
      <c r="D347" s="1">
        <f t="shared" si="12"/>
        <v>66954.600000000006</v>
      </c>
      <c r="E347" t="s">
        <v>6</v>
      </c>
      <c r="F347">
        <f t="shared" si="11"/>
        <v>14000</v>
      </c>
    </row>
    <row r="348" spans="1:8">
      <c r="A348">
        <v>2023</v>
      </c>
      <c r="B348">
        <v>35</v>
      </c>
      <c r="C348" s="1">
        <v>348385</v>
      </c>
      <c r="D348" s="1">
        <f t="shared" si="12"/>
        <v>69677</v>
      </c>
      <c r="E348" t="s">
        <v>6</v>
      </c>
      <c r="F348">
        <f t="shared" si="11"/>
        <v>14000</v>
      </c>
    </row>
    <row r="349" spans="1:8">
      <c r="A349">
        <v>2023</v>
      </c>
      <c r="B349">
        <v>36</v>
      </c>
      <c r="C349" s="1">
        <v>291890</v>
      </c>
      <c r="D349" s="1">
        <f>C349/4</f>
        <v>72972.5</v>
      </c>
      <c r="E349" t="s">
        <v>6</v>
      </c>
      <c r="F349">
        <f t="shared" si="11"/>
        <v>14000</v>
      </c>
    </row>
    <row r="350" spans="1:8">
      <c r="A350">
        <v>2023</v>
      </c>
      <c r="B350">
        <v>37</v>
      </c>
      <c r="C350" s="1">
        <v>335040</v>
      </c>
      <c r="D350" s="1">
        <f t="shared" si="12"/>
        <v>67008</v>
      </c>
      <c r="E350" t="s">
        <v>6</v>
      </c>
      <c r="F350">
        <f t="shared" si="11"/>
        <v>14000</v>
      </c>
    </row>
    <row r="351" spans="1:8">
      <c r="A351">
        <v>2023</v>
      </c>
      <c r="B351">
        <v>38</v>
      </c>
      <c r="C351" s="1">
        <v>325801</v>
      </c>
      <c r="D351" s="1">
        <f t="shared" si="12"/>
        <v>65160.2</v>
      </c>
      <c r="E351" t="s">
        <v>6</v>
      </c>
      <c r="F351">
        <f t="shared" si="11"/>
        <v>14000</v>
      </c>
    </row>
    <row r="352" spans="1:8">
      <c r="A352">
        <v>2023</v>
      </c>
      <c r="B352">
        <v>39</v>
      </c>
      <c r="C352" s="1">
        <v>252303</v>
      </c>
      <c r="D352" s="1">
        <f>C352/4</f>
        <v>63075.75</v>
      </c>
      <c r="E352" t="s">
        <v>6</v>
      </c>
      <c r="F352">
        <f t="shared" si="11"/>
        <v>14000</v>
      </c>
    </row>
    <row r="353" spans="1:10">
      <c r="A353">
        <v>2023</v>
      </c>
      <c r="B353">
        <v>40</v>
      </c>
      <c r="C353" s="1">
        <v>317689</v>
      </c>
      <c r="D353" s="1">
        <f t="shared" si="12"/>
        <v>63537.8</v>
      </c>
      <c r="E353" t="s">
        <v>6</v>
      </c>
      <c r="F353">
        <f t="shared" si="11"/>
        <v>14000</v>
      </c>
    </row>
    <row r="354" spans="1:10">
      <c r="A354">
        <v>2023</v>
      </c>
      <c r="B354">
        <v>41</v>
      </c>
      <c r="C354" s="1">
        <v>309219</v>
      </c>
      <c r="D354" s="1">
        <f>C354/4</f>
        <v>77304.75</v>
      </c>
      <c r="E354" t="s">
        <v>6</v>
      </c>
      <c r="F354">
        <f t="shared" si="11"/>
        <v>14000</v>
      </c>
    </row>
    <row r="355" spans="1:10">
      <c r="A355">
        <v>2023</v>
      </c>
      <c r="B355">
        <v>42</v>
      </c>
      <c r="C355" s="1">
        <v>412374</v>
      </c>
      <c r="D355" s="1">
        <f t="shared" si="12"/>
        <v>82474.8</v>
      </c>
      <c r="E355" t="s">
        <v>6</v>
      </c>
      <c r="F355">
        <f t="shared" si="11"/>
        <v>14000</v>
      </c>
    </row>
    <row r="356" spans="1:10">
      <c r="A356">
        <v>2023</v>
      </c>
      <c r="B356">
        <v>43</v>
      </c>
      <c r="C356" s="1">
        <v>364803</v>
      </c>
      <c r="D356" s="1">
        <f t="shared" si="12"/>
        <v>72960.600000000006</v>
      </c>
      <c r="E356" t="s">
        <v>6</v>
      </c>
      <c r="F356">
        <f t="shared" si="11"/>
        <v>14000</v>
      </c>
    </row>
    <row r="357" spans="1:10">
      <c r="A357">
        <v>2023</v>
      </c>
      <c r="B357">
        <v>44</v>
      </c>
      <c r="C357" s="1">
        <v>340973</v>
      </c>
      <c r="D357" s="1">
        <f t="shared" si="12"/>
        <v>68194.600000000006</v>
      </c>
      <c r="E357" t="s">
        <v>6</v>
      </c>
      <c r="F357">
        <f t="shared" si="11"/>
        <v>14000</v>
      </c>
    </row>
    <row r="358" spans="1:10">
      <c r="A358">
        <v>2023</v>
      </c>
      <c r="B358">
        <v>45</v>
      </c>
      <c r="C358" s="1">
        <v>343722</v>
      </c>
      <c r="D358" s="1">
        <f t="shared" si="12"/>
        <v>68744.399999999994</v>
      </c>
      <c r="E358" t="s">
        <v>6</v>
      </c>
      <c r="F358">
        <f t="shared" si="11"/>
        <v>14000</v>
      </c>
    </row>
    <row r="359" spans="1:10">
      <c r="A359">
        <v>2023</v>
      </c>
      <c r="B359">
        <v>46</v>
      </c>
      <c r="C359" s="1">
        <v>336754</v>
      </c>
      <c r="D359" s="1">
        <f t="shared" si="12"/>
        <v>67350.8</v>
      </c>
      <c r="E359" t="s">
        <v>6</v>
      </c>
      <c r="F359">
        <f t="shared" si="11"/>
        <v>14000</v>
      </c>
    </row>
    <row r="360" spans="1:10">
      <c r="A360">
        <v>2023</v>
      </c>
      <c r="B360">
        <v>47</v>
      </c>
      <c r="C360" s="1">
        <v>413744</v>
      </c>
      <c r="D360" s="1">
        <f t="shared" si="12"/>
        <v>82748.800000000003</v>
      </c>
      <c r="E360" t="s">
        <v>6</v>
      </c>
      <c r="F360">
        <f t="shared" si="11"/>
        <v>14000</v>
      </c>
    </row>
    <row r="361" spans="1:10">
      <c r="A361">
        <v>2023</v>
      </c>
      <c r="B361">
        <v>48</v>
      </c>
      <c r="C361" s="1">
        <v>467892</v>
      </c>
      <c r="D361" s="1">
        <f t="shared" si="12"/>
        <v>93578.4</v>
      </c>
      <c r="E361" t="s">
        <v>6</v>
      </c>
      <c r="F361">
        <f t="shared" si="11"/>
        <v>14000</v>
      </c>
      <c r="J361">
        <f>D361/D358</f>
        <v>1.3612512437376718</v>
      </c>
    </row>
    <row r="362" spans="1:10">
      <c r="A362">
        <v>2023</v>
      </c>
      <c r="B362">
        <v>49</v>
      </c>
      <c r="C362" s="1">
        <v>410782</v>
      </c>
      <c r="D362" s="1">
        <f t="shared" si="12"/>
        <v>82156.399999999994</v>
      </c>
      <c r="E362" t="s">
        <v>6</v>
      </c>
      <c r="F362">
        <f t="shared" si="11"/>
        <v>14000</v>
      </c>
    </row>
    <row r="363" spans="1:10">
      <c r="A363">
        <v>2023</v>
      </c>
      <c r="B363">
        <v>50</v>
      </c>
      <c r="C363" s="1">
        <v>372490</v>
      </c>
      <c r="D363" s="1">
        <f t="shared" si="12"/>
        <v>74498</v>
      </c>
      <c r="E363" t="s">
        <v>6</v>
      </c>
      <c r="F363">
        <f t="shared" si="11"/>
        <v>14000</v>
      </c>
    </row>
    <row r="364" spans="1:10">
      <c r="A364">
        <v>2023</v>
      </c>
      <c r="B364">
        <v>51</v>
      </c>
      <c r="C364" s="1">
        <v>362923</v>
      </c>
      <c r="D364" s="1">
        <f t="shared" si="12"/>
        <v>72584.600000000006</v>
      </c>
      <c r="E364" t="s">
        <v>6</v>
      </c>
      <c r="F364">
        <f t="shared" si="11"/>
        <v>14000</v>
      </c>
    </row>
    <row r="365" spans="1:10">
      <c r="A365">
        <v>2023</v>
      </c>
      <c r="B365">
        <v>52</v>
      </c>
      <c r="C365" s="1">
        <v>207908</v>
      </c>
      <c r="D365" s="1">
        <f>C365/3</f>
        <v>69302.666666666672</v>
      </c>
      <c r="E365" t="s">
        <v>6</v>
      </c>
      <c r="F365">
        <f t="shared" si="11"/>
        <v>14000</v>
      </c>
    </row>
    <row r="366" spans="1:10">
      <c r="A366">
        <v>2024</v>
      </c>
      <c r="B366">
        <v>1</v>
      </c>
      <c r="C366" s="1">
        <v>263058</v>
      </c>
      <c r="D366" s="1">
        <f>C366/4</f>
        <v>65764.5</v>
      </c>
      <c r="E366" t="s">
        <v>6</v>
      </c>
      <c r="F366">
        <f>2000*7</f>
        <v>14000</v>
      </c>
    </row>
    <row r="367" spans="1:10">
      <c r="A367">
        <v>2024</v>
      </c>
      <c r="B367">
        <v>2</v>
      </c>
      <c r="C367" s="1">
        <v>266987</v>
      </c>
      <c r="D367" s="1">
        <f t="shared" ref="D367:D417" si="13">C367/5</f>
        <v>53397.4</v>
      </c>
      <c r="E367" t="s">
        <v>6</v>
      </c>
      <c r="F367">
        <f t="shared" si="11"/>
        <v>14000</v>
      </c>
    </row>
    <row r="368" spans="1:10">
      <c r="A368">
        <v>2024</v>
      </c>
      <c r="B368">
        <v>3</v>
      </c>
      <c r="C368" s="1">
        <v>266213</v>
      </c>
      <c r="D368" s="1">
        <f t="shared" si="13"/>
        <v>53242.6</v>
      </c>
      <c r="E368" t="s">
        <v>6</v>
      </c>
      <c r="F368">
        <f t="shared" si="11"/>
        <v>14000</v>
      </c>
    </row>
    <row r="369" spans="1:6">
      <c r="A369">
        <v>2024</v>
      </c>
      <c r="B369">
        <v>4</v>
      </c>
      <c r="C369" s="1">
        <v>274937</v>
      </c>
      <c r="D369" s="1">
        <f t="shared" si="13"/>
        <v>54987.4</v>
      </c>
      <c r="E369" t="s">
        <v>6</v>
      </c>
      <c r="F369">
        <f t="shared" si="11"/>
        <v>14000</v>
      </c>
    </row>
    <row r="370" spans="1:6">
      <c r="A370">
        <v>2024</v>
      </c>
      <c r="B370">
        <v>5</v>
      </c>
      <c r="C370" s="1">
        <v>256635</v>
      </c>
      <c r="D370" s="1">
        <f t="shared" si="13"/>
        <v>51327</v>
      </c>
      <c r="E370" t="s">
        <v>6</v>
      </c>
      <c r="F370">
        <f t="shared" si="11"/>
        <v>14000</v>
      </c>
    </row>
    <row r="371" spans="1:6">
      <c r="A371">
        <v>2024</v>
      </c>
      <c r="B371">
        <v>6</v>
      </c>
      <c r="C371" s="1">
        <v>302516</v>
      </c>
      <c r="D371" s="1">
        <f t="shared" si="13"/>
        <v>60503.199999999997</v>
      </c>
      <c r="E371" t="s">
        <v>6</v>
      </c>
      <c r="F371">
        <f t="shared" si="11"/>
        <v>14000</v>
      </c>
    </row>
    <row r="372" spans="1:6">
      <c r="A372">
        <v>2024</v>
      </c>
      <c r="B372">
        <v>7</v>
      </c>
      <c r="C372" s="1">
        <v>280051</v>
      </c>
      <c r="D372" s="1">
        <f t="shared" si="13"/>
        <v>56010.2</v>
      </c>
      <c r="E372" t="s">
        <v>6</v>
      </c>
      <c r="F372">
        <f t="shared" si="11"/>
        <v>14000</v>
      </c>
    </row>
    <row r="373" spans="1:6">
      <c r="A373">
        <v>2024</v>
      </c>
      <c r="B373">
        <v>8</v>
      </c>
      <c r="C373" s="1">
        <v>200115</v>
      </c>
      <c r="D373" s="1">
        <f>C373/4</f>
        <v>50028.75</v>
      </c>
      <c r="E373" t="s">
        <v>6</v>
      </c>
      <c r="F373">
        <f t="shared" si="11"/>
        <v>14000</v>
      </c>
    </row>
    <row r="374" spans="1:6">
      <c r="A374">
        <v>2024</v>
      </c>
      <c r="B374">
        <v>9</v>
      </c>
      <c r="C374" s="1">
        <v>253159</v>
      </c>
      <c r="D374" s="1">
        <f t="shared" si="13"/>
        <v>50631.8</v>
      </c>
      <c r="E374" t="s">
        <v>6</v>
      </c>
      <c r="F374">
        <f t="shared" si="11"/>
        <v>14000</v>
      </c>
    </row>
    <row r="375" spans="1:6">
      <c r="A375">
        <v>2024</v>
      </c>
      <c r="B375">
        <v>10</v>
      </c>
      <c r="C375" s="1">
        <v>261840</v>
      </c>
      <c r="D375" s="1">
        <f t="shared" si="13"/>
        <v>52368</v>
      </c>
      <c r="E375" t="s">
        <v>6</v>
      </c>
      <c r="F375">
        <f t="shared" si="11"/>
        <v>14000</v>
      </c>
    </row>
    <row r="376" spans="1:6">
      <c r="A376">
        <v>2024</v>
      </c>
      <c r="B376">
        <v>11</v>
      </c>
      <c r="C376" s="1">
        <v>263796</v>
      </c>
      <c r="D376" s="1">
        <f t="shared" si="13"/>
        <v>52759.199999999997</v>
      </c>
      <c r="E376" t="s">
        <v>6</v>
      </c>
      <c r="F376">
        <f t="shared" si="11"/>
        <v>14000</v>
      </c>
    </row>
    <row r="377" spans="1:6">
      <c r="A377">
        <v>2024</v>
      </c>
      <c r="B377">
        <v>12</v>
      </c>
      <c r="C377" s="1">
        <v>258285</v>
      </c>
      <c r="D377" s="1">
        <f t="shared" si="13"/>
        <v>51657</v>
      </c>
      <c r="E377" t="s">
        <v>6</v>
      </c>
      <c r="F377">
        <v>0</v>
      </c>
    </row>
    <row r="378" spans="1:6">
      <c r="A378">
        <v>2024</v>
      </c>
      <c r="B378">
        <v>13</v>
      </c>
      <c r="C378" s="1">
        <v>207186</v>
      </c>
      <c r="D378" s="1">
        <f>C378/4</f>
        <v>51796.5</v>
      </c>
      <c r="E378" t="s">
        <v>6</v>
      </c>
      <c r="F378">
        <v>0</v>
      </c>
    </row>
    <row r="379" spans="1:6">
      <c r="A379">
        <v>2024</v>
      </c>
      <c r="B379">
        <v>14</v>
      </c>
      <c r="C379" s="1">
        <v>266426</v>
      </c>
      <c r="D379" s="1">
        <f t="shared" si="13"/>
        <v>53285.2</v>
      </c>
      <c r="E379" t="s">
        <v>6</v>
      </c>
      <c r="F379">
        <v>0</v>
      </c>
    </row>
    <row r="380" spans="1:6">
      <c r="A380">
        <v>2024</v>
      </c>
      <c r="B380">
        <v>15</v>
      </c>
      <c r="C380" s="1">
        <v>263279</v>
      </c>
      <c r="D380" s="1">
        <f t="shared" si="13"/>
        <v>52655.8</v>
      </c>
      <c r="E380" t="s">
        <v>6</v>
      </c>
      <c r="F380">
        <v>0</v>
      </c>
    </row>
    <row r="381" spans="1:6">
      <c r="A381">
        <v>2024</v>
      </c>
      <c r="B381">
        <v>16</v>
      </c>
      <c r="C381" s="1">
        <v>256907</v>
      </c>
      <c r="D381" s="1">
        <f t="shared" si="13"/>
        <v>51381.4</v>
      </c>
      <c r="E381" t="s">
        <v>6</v>
      </c>
      <c r="F381">
        <v>0</v>
      </c>
    </row>
    <row r="382" spans="1:6">
      <c r="A382">
        <v>2024</v>
      </c>
      <c r="B382">
        <v>17</v>
      </c>
      <c r="C382" s="1">
        <v>265141</v>
      </c>
      <c r="D382" s="1">
        <f t="shared" si="13"/>
        <v>53028.2</v>
      </c>
      <c r="E382" t="s">
        <v>6</v>
      </c>
      <c r="F382">
        <v>0</v>
      </c>
    </row>
    <row r="383" spans="1:6">
      <c r="A383">
        <v>2024</v>
      </c>
      <c r="B383">
        <v>18</v>
      </c>
      <c r="C383" s="1">
        <v>265830</v>
      </c>
      <c r="D383" s="1">
        <f t="shared" si="13"/>
        <v>53166</v>
      </c>
      <c r="E383" t="s">
        <v>6</v>
      </c>
      <c r="F383">
        <v>0</v>
      </c>
    </row>
    <row r="384" spans="1:6">
      <c r="A384">
        <v>2024</v>
      </c>
      <c r="B384">
        <v>19</v>
      </c>
      <c r="C384" s="1">
        <v>274366</v>
      </c>
      <c r="D384" s="1">
        <f t="shared" si="13"/>
        <v>54873.2</v>
      </c>
      <c r="E384" t="s">
        <v>6</v>
      </c>
      <c r="F384">
        <v>0</v>
      </c>
    </row>
    <row r="385" spans="1:6">
      <c r="A385">
        <v>2024</v>
      </c>
      <c r="B385">
        <v>20</v>
      </c>
      <c r="C385" s="1">
        <v>261431</v>
      </c>
      <c r="D385" s="1">
        <f t="shared" si="13"/>
        <v>52286.2</v>
      </c>
      <c r="E385" t="s">
        <v>6</v>
      </c>
      <c r="F385">
        <v>0</v>
      </c>
    </row>
    <row r="386" spans="1:6">
      <c r="A386">
        <v>2024</v>
      </c>
      <c r="B386">
        <v>21</v>
      </c>
      <c r="C386" s="1">
        <v>198848</v>
      </c>
      <c r="D386" s="1">
        <f>C386/4</f>
        <v>49712</v>
      </c>
      <c r="E386" t="s">
        <v>6</v>
      </c>
      <c r="F386">
        <v>0</v>
      </c>
    </row>
    <row r="387" spans="1:6">
      <c r="A387">
        <v>2024</v>
      </c>
      <c r="B387">
        <v>22</v>
      </c>
      <c r="C387" s="1">
        <v>276965</v>
      </c>
      <c r="D387" s="1">
        <f t="shared" si="13"/>
        <v>55393</v>
      </c>
      <c r="E387" t="s">
        <v>6</v>
      </c>
      <c r="F387">
        <v>0</v>
      </c>
    </row>
    <row r="388" spans="1:6">
      <c r="A388">
        <v>2024</v>
      </c>
      <c r="B388">
        <v>23</v>
      </c>
      <c r="C388" s="1">
        <v>275984</v>
      </c>
      <c r="D388" s="1">
        <f t="shared" si="13"/>
        <v>55196.800000000003</v>
      </c>
      <c r="E388" t="s">
        <v>6</v>
      </c>
      <c r="F388">
        <v>0</v>
      </c>
    </row>
    <row r="389" spans="1:6">
      <c r="A389">
        <v>2024</v>
      </c>
      <c r="B389">
        <v>24</v>
      </c>
      <c r="C389" s="1">
        <v>274192</v>
      </c>
      <c r="D389" s="1">
        <f t="shared" si="13"/>
        <v>54838.400000000001</v>
      </c>
      <c r="E389" t="s">
        <v>6</v>
      </c>
      <c r="F389">
        <v>0</v>
      </c>
    </row>
    <row r="390" spans="1:6">
      <c r="A390">
        <v>2024</v>
      </c>
      <c r="B390">
        <v>25</v>
      </c>
      <c r="C390" s="1">
        <v>270014</v>
      </c>
      <c r="D390" s="1">
        <f t="shared" si="13"/>
        <v>54002.8</v>
      </c>
      <c r="E390" t="s">
        <v>6</v>
      </c>
      <c r="F390">
        <v>0</v>
      </c>
    </row>
    <row r="391" spans="1:6">
      <c r="A391">
        <v>2024</v>
      </c>
      <c r="B391">
        <v>26</v>
      </c>
      <c r="C391" s="1">
        <v>255104</v>
      </c>
      <c r="D391" s="1">
        <f t="shared" si="13"/>
        <v>51020.800000000003</v>
      </c>
      <c r="E391" t="s">
        <v>6</v>
      </c>
      <c r="F391">
        <v>0</v>
      </c>
    </row>
    <row r="392" spans="1:6">
      <c r="A392">
        <v>2024</v>
      </c>
      <c r="B392">
        <v>27</v>
      </c>
      <c r="C392" s="1">
        <v>209049</v>
      </c>
      <c r="D392" s="1">
        <f>C392/4</f>
        <v>52262.25</v>
      </c>
      <c r="E392" t="s">
        <v>6</v>
      </c>
      <c r="F392">
        <v>0</v>
      </c>
    </row>
    <row r="393" spans="1:6">
      <c r="A393">
        <v>2024</v>
      </c>
      <c r="B393">
        <v>28</v>
      </c>
      <c r="C393" s="1">
        <v>275997</v>
      </c>
      <c r="D393" s="1">
        <f t="shared" si="13"/>
        <v>55199.4</v>
      </c>
      <c r="E393" t="s">
        <v>6</v>
      </c>
      <c r="F393">
        <v>0</v>
      </c>
    </row>
    <row r="394" spans="1:6">
      <c r="A394">
        <v>2024</v>
      </c>
      <c r="B394">
        <v>29</v>
      </c>
      <c r="C394" s="1">
        <v>456829</v>
      </c>
      <c r="D394" s="1">
        <f t="shared" si="13"/>
        <v>91365.8</v>
      </c>
      <c r="E394" t="s">
        <v>6</v>
      </c>
      <c r="F394">
        <v>0</v>
      </c>
    </row>
    <row r="395" spans="1:6">
      <c r="A395">
        <v>2024</v>
      </c>
      <c r="B395">
        <v>30</v>
      </c>
      <c r="C395" s="1">
        <v>501106</v>
      </c>
      <c r="D395" s="1">
        <f t="shared" si="13"/>
        <v>100221.2</v>
      </c>
      <c r="E395" t="s">
        <v>6</v>
      </c>
      <c r="F395">
        <v>0</v>
      </c>
    </row>
    <row r="396" spans="1:6">
      <c r="A396">
        <v>2024</v>
      </c>
      <c r="B396">
        <v>31</v>
      </c>
      <c r="C396" s="1">
        <v>236652</v>
      </c>
      <c r="D396" s="1">
        <f t="shared" si="13"/>
        <v>47330.400000000001</v>
      </c>
      <c r="E396" t="s">
        <v>6</v>
      </c>
      <c r="F396">
        <v>0</v>
      </c>
    </row>
    <row r="397" spans="1:6">
      <c r="A397">
        <v>2024</v>
      </c>
      <c r="B397">
        <v>32</v>
      </c>
      <c r="C397" s="1">
        <v>211932</v>
      </c>
      <c r="D397" s="1">
        <f>C397/4</f>
        <v>52983</v>
      </c>
      <c r="E397" t="s">
        <v>6</v>
      </c>
      <c r="F397">
        <v>0</v>
      </c>
    </row>
    <row r="398" spans="1:6">
      <c r="A398">
        <v>2024</v>
      </c>
      <c r="B398">
        <v>33</v>
      </c>
      <c r="C398" s="1">
        <v>273751</v>
      </c>
      <c r="D398" s="1">
        <f t="shared" si="13"/>
        <v>54750.2</v>
      </c>
      <c r="E398" t="s">
        <v>6</v>
      </c>
      <c r="F398">
        <v>0</v>
      </c>
    </row>
    <row r="399" spans="1:6">
      <c r="A399">
        <v>2024</v>
      </c>
      <c r="B399">
        <v>34</v>
      </c>
      <c r="C399" s="1">
        <v>295605</v>
      </c>
      <c r="D399" s="1">
        <f t="shared" si="13"/>
        <v>59121</v>
      </c>
      <c r="E399" t="s">
        <v>6</v>
      </c>
      <c r="F399">
        <v>0</v>
      </c>
    </row>
    <row r="400" spans="1:6">
      <c r="A400">
        <v>2024</v>
      </c>
      <c r="B400">
        <v>35</v>
      </c>
      <c r="C400" s="1">
        <v>292084</v>
      </c>
      <c r="D400" s="1">
        <f t="shared" si="13"/>
        <v>58416.800000000003</v>
      </c>
      <c r="E400" t="s">
        <v>6</v>
      </c>
      <c r="F400">
        <v>0</v>
      </c>
    </row>
    <row r="401" spans="1:6">
      <c r="A401">
        <v>2024</v>
      </c>
      <c r="B401">
        <v>36</v>
      </c>
      <c r="C401" s="1">
        <v>231137</v>
      </c>
      <c r="D401" s="1">
        <f>C401/4</f>
        <v>57784.25</v>
      </c>
      <c r="E401" t="s">
        <v>6</v>
      </c>
      <c r="F401">
        <v>0</v>
      </c>
    </row>
    <row r="402" spans="1:6">
      <c r="A402">
        <v>2024</v>
      </c>
      <c r="B402">
        <v>37</v>
      </c>
      <c r="C402" s="1">
        <v>300889</v>
      </c>
      <c r="D402" s="1">
        <f t="shared" si="13"/>
        <v>60177.8</v>
      </c>
      <c r="E402" t="s">
        <v>6</v>
      </c>
      <c r="F402">
        <v>0</v>
      </c>
    </row>
    <row r="403" spans="1:6">
      <c r="A403">
        <v>2024</v>
      </c>
      <c r="B403">
        <v>38</v>
      </c>
      <c r="C403" s="1">
        <v>254752</v>
      </c>
      <c r="D403" s="1">
        <f t="shared" si="13"/>
        <v>50950.400000000001</v>
      </c>
      <c r="E403" t="s">
        <v>6</v>
      </c>
      <c r="F403">
        <v>0</v>
      </c>
    </row>
    <row r="404" spans="1:6">
      <c r="A404">
        <v>2024</v>
      </c>
      <c r="B404">
        <v>39</v>
      </c>
      <c r="C404" s="1">
        <v>246297</v>
      </c>
      <c r="D404" s="1">
        <f t="shared" si="13"/>
        <v>49259.4</v>
      </c>
      <c r="E404" t="s">
        <v>6</v>
      </c>
      <c r="F404">
        <v>0</v>
      </c>
    </row>
    <row r="405" spans="1:6">
      <c r="A405">
        <v>2024</v>
      </c>
      <c r="B405">
        <v>40</v>
      </c>
      <c r="C405" s="1">
        <v>202344</v>
      </c>
      <c r="D405" s="1">
        <f>C405/4</f>
        <v>50586</v>
      </c>
      <c r="E405" t="s">
        <v>6</v>
      </c>
      <c r="F405">
        <v>0</v>
      </c>
    </row>
    <row r="406" spans="1:6">
      <c r="A406">
        <v>2024</v>
      </c>
      <c r="B406">
        <v>41</v>
      </c>
      <c r="C406" s="1">
        <v>391581</v>
      </c>
      <c r="D406" s="1">
        <f t="shared" si="13"/>
        <v>78316.2</v>
      </c>
      <c r="E406" t="s">
        <v>6</v>
      </c>
      <c r="F406">
        <v>0</v>
      </c>
    </row>
    <row r="407" spans="1:6">
      <c r="A407">
        <v>2024</v>
      </c>
      <c r="B407">
        <v>42</v>
      </c>
      <c r="C407" s="1">
        <v>283155</v>
      </c>
      <c r="D407" s="1">
        <f>C407/4</f>
        <v>70788.75</v>
      </c>
      <c r="E407" t="s">
        <v>6</v>
      </c>
      <c r="F407">
        <v>0</v>
      </c>
    </row>
    <row r="408" spans="1:6">
      <c r="A408">
        <v>2024</v>
      </c>
      <c r="B408">
        <v>43</v>
      </c>
      <c r="C408" s="1">
        <v>361460</v>
      </c>
      <c r="D408" s="1">
        <f t="shared" si="13"/>
        <v>72292</v>
      </c>
      <c r="E408" t="s">
        <v>6</v>
      </c>
      <c r="F408">
        <v>0</v>
      </c>
    </row>
    <row r="409" spans="1:6">
      <c r="A409">
        <v>2024</v>
      </c>
      <c r="B409">
        <v>44</v>
      </c>
      <c r="C409" s="1">
        <v>317506</v>
      </c>
      <c r="D409" s="1">
        <f t="shared" si="13"/>
        <v>63501.2</v>
      </c>
      <c r="E409" t="s">
        <v>6</v>
      </c>
      <c r="F409">
        <v>0</v>
      </c>
    </row>
    <row r="410" spans="1:6">
      <c r="A410">
        <v>2024</v>
      </c>
      <c r="B410">
        <v>45</v>
      </c>
      <c r="C410" s="1">
        <v>278799</v>
      </c>
      <c r="D410" s="1">
        <f t="shared" si="13"/>
        <v>55759.8</v>
      </c>
      <c r="E410" t="s">
        <v>6</v>
      </c>
      <c r="F410">
        <v>0</v>
      </c>
    </row>
    <row r="411" spans="1:6">
      <c r="A411">
        <v>2024</v>
      </c>
      <c r="B411">
        <v>46</v>
      </c>
      <c r="C411" s="1">
        <v>257967</v>
      </c>
      <c r="D411" s="1">
        <f>C411/4.81</f>
        <v>53631.392931392933</v>
      </c>
      <c r="E411" t="s">
        <v>6</v>
      </c>
      <c r="F411">
        <v>0</v>
      </c>
    </row>
    <row r="412" spans="1:6">
      <c r="A412">
        <v>2024</v>
      </c>
      <c r="B412">
        <v>47</v>
      </c>
      <c r="C412" s="1">
        <v>274327</v>
      </c>
      <c r="D412" s="1">
        <f t="shared" si="13"/>
        <v>54865.4</v>
      </c>
      <c r="E412" t="s">
        <v>6</v>
      </c>
      <c r="F412">
        <v>0</v>
      </c>
    </row>
    <row r="413" spans="1:6">
      <c r="A413">
        <v>2024</v>
      </c>
      <c r="B413">
        <v>48</v>
      </c>
      <c r="C413" s="1">
        <v>452564</v>
      </c>
      <c r="D413" s="1">
        <f t="shared" si="13"/>
        <v>90512.8</v>
      </c>
      <c r="E413" t="s">
        <v>6</v>
      </c>
      <c r="F413">
        <v>0</v>
      </c>
    </row>
    <row r="414" spans="1:6">
      <c r="A414">
        <v>2024</v>
      </c>
      <c r="B414">
        <v>49</v>
      </c>
      <c r="C414" s="1">
        <v>436120</v>
      </c>
      <c r="D414" s="1">
        <f t="shared" si="13"/>
        <v>87224</v>
      </c>
      <c r="E414" t="s">
        <v>6</v>
      </c>
      <c r="F414">
        <v>0</v>
      </c>
    </row>
    <row r="415" spans="1:6">
      <c r="A415">
        <v>2024</v>
      </c>
      <c r="B415">
        <v>50</v>
      </c>
      <c r="C415" s="1">
        <v>476639</v>
      </c>
      <c r="D415" s="1">
        <f t="shared" si="13"/>
        <v>95327.8</v>
      </c>
      <c r="E415" t="s">
        <v>6</v>
      </c>
      <c r="F415">
        <v>0</v>
      </c>
    </row>
    <row r="416" spans="1:6">
      <c r="A416">
        <v>2024</v>
      </c>
      <c r="B416">
        <v>51</v>
      </c>
      <c r="C416" s="1">
        <v>338633</v>
      </c>
      <c r="D416" s="1">
        <f t="shared" si="13"/>
        <v>67726.600000000006</v>
      </c>
      <c r="E416" t="s">
        <v>6</v>
      </c>
      <c r="F416">
        <v>0</v>
      </c>
    </row>
    <row r="417" spans="1:6">
      <c r="A417">
        <v>2024</v>
      </c>
      <c r="B417">
        <v>52</v>
      </c>
      <c r="C417" s="1">
        <v>282823</v>
      </c>
      <c r="D417" s="1">
        <f t="shared" si="13"/>
        <v>56564.6</v>
      </c>
      <c r="E417" t="s">
        <v>6</v>
      </c>
      <c r="F417">
        <v>0</v>
      </c>
    </row>
    <row r="418" spans="1:6">
      <c r="A418">
        <v>2025</v>
      </c>
      <c r="B418">
        <v>1</v>
      </c>
      <c r="C418" s="1">
        <v>81953</v>
      </c>
      <c r="D418" s="1">
        <f>C418/2</f>
        <v>40976.5</v>
      </c>
      <c r="E418" t="s">
        <v>6</v>
      </c>
      <c r="F418">
        <v>0</v>
      </c>
    </row>
    <row r="419" spans="1:6">
      <c r="A419">
        <v>2025</v>
      </c>
      <c r="B419">
        <v>2</v>
      </c>
      <c r="C419" s="1">
        <v>146212</v>
      </c>
      <c r="D419" s="1">
        <f t="shared" ref="D419" si="14">C419/5</f>
        <v>29242.400000000001</v>
      </c>
      <c r="E419" t="s">
        <v>6</v>
      </c>
      <c r="F419">
        <v>0</v>
      </c>
    </row>
    <row r="420" spans="1:6">
      <c r="A420">
        <v>2025</v>
      </c>
      <c r="B420">
        <v>3</v>
      </c>
      <c r="C420" s="1">
        <v>118185</v>
      </c>
      <c r="D420" s="1">
        <f t="shared" ref="D420:D468" si="15">C420/5</f>
        <v>23637</v>
      </c>
      <c r="E420" t="s">
        <v>6</v>
      </c>
      <c r="F420">
        <v>0</v>
      </c>
    </row>
    <row r="421" spans="1:6">
      <c r="A421">
        <v>2025</v>
      </c>
      <c r="B421">
        <v>4</v>
      </c>
      <c r="C421" s="1">
        <v>191359</v>
      </c>
      <c r="D421" s="1">
        <f t="shared" si="15"/>
        <v>38271.800000000003</v>
      </c>
      <c r="E421" t="s">
        <v>6</v>
      </c>
      <c r="F421">
        <v>0</v>
      </c>
    </row>
    <row r="422" spans="1:6">
      <c r="A422">
        <v>2025</v>
      </c>
      <c r="B422">
        <v>5</v>
      </c>
      <c r="C422" s="1">
        <v>235303</v>
      </c>
      <c r="D422" s="1">
        <f t="shared" si="15"/>
        <v>47060.6</v>
      </c>
      <c r="E422" t="s">
        <v>6</v>
      </c>
      <c r="F422">
        <v>0</v>
      </c>
    </row>
    <row r="423" spans="1:6">
      <c r="A423">
        <v>2025</v>
      </c>
      <c r="B423">
        <v>6</v>
      </c>
      <c r="C423" s="1">
        <v>229710</v>
      </c>
      <c r="D423" s="1">
        <f t="shared" si="15"/>
        <v>45942</v>
      </c>
      <c r="E423" t="s">
        <v>6</v>
      </c>
      <c r="F423">
        <v>0</v>
      </c>
    </row>
    <row r="424" spans="1:6">
      <c r="A424">
        <v>2025</v>
      </c>
      <c r="B424">
        <v>7</v>
      </c>
      <c r="C424" s="1">
        <v>210347</v>
      </c>
      <c r="D424" s="1">
        <f t="shared" si="15"/>
        <v>42069.4</v>
      </c>
      <c r="E424" t="s">
        <v>6</v>
      </c>
      <c r="F424">
        <v>0</v>
      </c>
    </row>
    <row r="425" spans="1:6">
      <c r="A425">
        <v>2025</v>
      </c>
      <c r="B425">
        <v>8</v>
      </c>
      <c r="C425" s="1">
        <v>190302</v>
      </c>
      <c r="D425" s="1">
        <f>C425/4.43</f>
        <v>42957.56207674944</v>
      </c>
      <c r="E425" t="s">
        <v>6</v>
      </c>
      <c r="F425">
        <v>0</v>
      </c>
    </row>
    <row r="426" spans="1:6">
      <c r="A426">
        <v>2025</v>
      </c>
      <c r="B426">
        <v>9</v>
      </c>
      <c r="C426" s="1">
        <v>276329</v>
      </c>
      <c r="D426" s="1">
        <f t="shared" si="15"/>
        <v>55265.8</v>
      </c>
      <c r="E426" t="s">
        <v>6</v>
      </c>
      <c r="F426">
        <v>0</v>
      </c>
    </row>
    <row r="427" spans="1:6">
      <c r="A427">
        <v>2025</v>
      </c>
      <c r="B427">
        <v>10</v>
      </c>
      <c r="C427" s="1">
        <v>268992</v>
      </c>
      <c r="D427" s="1">
        <f t="shared" si="15"/>
        <v>53798.400000000001</v>
      </c>
      <c r="E427" t="s">
        <v>6</v>
      </c>
      <c r="F427">
        <v>0</v>
      </c>
    </row>
    <row r="428" spans="1:6">
      <c r="A428">
        <v>2025</v>
      </c>
      <c r="B428">
        <v>11</v>
      </c>
      <c r="C428" s="1">
        <v>255601</v>
      </c>
      <c r="D428" s="1">
        <f t="shared" si="15"/>
        <v>51120.2</v>
      </c>
      <c r="E428" t="s">
        <v>6</v>
      </c>
      <c r="F428">
        <v>0</v>
      </c>
    </row>
    <row r="429" spans="1:6">
      <c r="A429">
        <v>2025</v>
      </c>
      <c r="B429">
        <v>12</v>
      </c>
      <c r="C429" s="1">
        <v>260062</v>
      </c>
      <c r="D429" s="1">
        <f t="shared" si="15"/>
        <v>52012.4</v>
      </c>
      <c r="E429" t="s">
        <v>6</v>
      </c>
      <c r="F429">
        <v>0</v>
      </c>
    </row>
    <row r="430" spans="1:6">
      <c r="A430">
        <v>2025</v>
      </c>
      <c r="B430">
        <v>13</v>
      </c>
      <c r="C430" s="1">
        <v>264601</v>
      </c>
      <c r="D430" s="1">
        <f t="shared" si="15"/>
        <v>52920.2</v>
      </c>
      <c r="E430" t="s">
        <v>6</v>
      </c>
      <c r="F430">
        <v>0</v>
      </c>
    </row>
    <row r="431" spans="1:6">
      <c r="A431">
        <v>2025</v>
      </c>
      <c r="B431">
        <v>14</v>
      </c>
      <c r="C431" s="1">
        <v>301962</v>
      </c>
      <c r="D431" s="1">
        <f t="shared" si="15"/>
        <v>60392.4</v>
      </c>
      <c r="E431" t="s">
        <v>6</v>
      </c>
      <c r="F431">
        <v>0</v>
      </c>
    </row>
    <row r="432" spans="1:6">
      <c r="A432">
        <v>2025</v>
      </c>
      <c r="B432">
        <v>15</v>
      </c>
      <c r="C432" s="1">
        <v>245897</v>
      </c>
      <c r="D432" s="1">
        <f t="shared" si="15"/>
        <v>49179.4</v>
      </c>
      <c r="E432" t="s">
        <v>6</v>
      </c>
      <c r="F432">
        <v>0</v>
      </c>
    </row>
    <row r="433" spans="1:6">
      <c r="A433">
        <v>2025</v>
      </c>
      <c r="B433">
        <v>16</v>
      </c>
      <c r="C433" s="1">
        <v>213465</v>
      </c>
      <c r="D433" s="1">
        <f>C433/4</f>
        <v>53366.25</v>
      </c>
      <c r="E433" t="s">
        <v>6</v>
      </c>
      <c r="F433">
        <v>0</v>
      </c>
    </row>
    <row r="434" spans="1:6">
      <c r="A434">
        <v>2025</v>
      </c>
      <c r="B434">
        <v>17</v>
      </c>
      <c r="C434" s="1">
        <v>337243</v>
      </c>
      <c r="D434" s="1">
        <f t="shared" si="15"/>
        <v>67448.600000000006</v>
      </c>
      <c r="E434" t="s">
        <v>6</v>
      </c>
      <c r="F434">
        <v>0</v>
      </c>
    </row>
    <row r="435" spans="1:6">
      <c r="A435">
        <v>2025</v>
      </c>
      <c r="B435">
        <v>18</v>
      </c>
      <c r="C435" s="1">
        <v>309240</v>
      </c>
      <c r="D435" s="1">
        <f t="shared" si="15"/>
        <v>61848</v>
      </c>
      <c r="E435" t="s">
        <v>6</v>
      </c>
      <c r="F435">
        <v>0</v>
      </c>
    </row>
    <row r="436" spans="1:6">
      <c r="A436">
        <v>2025</v>
      </c>
      <c r="B436">
        <v>19</v>
      </c>
      <c r="C436" s="1">
        <v>291393</v>
      </c>
      <c r="D436" s="1">
        <f t="shared" si="15"/>
        <v>58278.6</v>
      </c>
      <c r="E436" t="s">
        <v>6</v>
      </c>
      <c r="F436">
        <v>0</v>
      </c>
    </row>
    <row r="437" spans="1:6">
      <c r="A437">
        <v>2025</v>
      </c>
      <c r="B437">
        <v>20</v>
      </c>
      <c r="C437" s="1">
        <v>266720</v>
      </c>
      <c r="D437" s="1">
        <f t="shared" si="15"/>
        <v>53344</v>
      </c>
      <c r="E437" t="s">
        <v>6</v>
      </c>
      <c r="F437">
        <v>0</v>
      </c>
    </row>
    <row r="438" spans="1:6">
      <c r="A438">
        <v>2025</v>
      </c>
      <c r="B438">
        <v>21</v>
      </c>
      <c r="C438" s="1">
        <v>261422</v>
      </c>
      <c r="D438" s="1">
        <f>C438/4</f>
        <v>65355.5</v>
      </c>
      <c r="E438" t="s">
        <v>6</v>
      </c>
      <c r="F438">
        <v>0</v>
      </c>
    </row>
    <row r="439" spans="1:6">
      <c r="A439">
        <v>2025</v>
      </c>
      <c r="B439">
        <v>22</v>
      </c>
      <c r="C439" s="1">
        <v>344979</v>
      </c>
      <c r="D439" s="1">
        <f t="shared" si="15"/>
        <v>68995.8</v>
      </c>
      <c r="E439" t="s">
        <v>6</v>
      </c>
      <c r="F439">
        <v>0</v>
      </c>
    </row>
    <row r="440" spans="1:6">
      <c r="A440">
        <v>2025</v>
      </c>
      <c r="B440">
        <v>23</v>
      </c>
      <c r="C440" s="1">
        <v>332899</v>
      </c>
      <c r="D440" s="1">
        <f t="shared" si="15"/>
        <v>66579.8</v>
      </c>
      <c r="E440" t="s">
        <v>6</v>
      </c>
      <c r="F440">
        <v>0</v>
      </c>
    </row>
    <row r="441" spans="1:6">
      <c r="A441">
        <v>2025</v>
      </c>
      <c r="B441">
        <v>24</v>
      </c>
      <c r="C441" s="1">
        <v>341896</v>
      </c>
      <c r="D441" s="1">
        <f t="shared" si="15"/>
        <v>68379.199999999997</v>
      </c>
      <c r="E441" t="s">
        <v>6</v>
      </c>
      <c r="F441">
        <v>0</v>
      </c>
    </row>
    <row r="442" spans="1:6">
      <c r="A442">
        <v>2025</v>
      </c>
      <c r="B442">
        <v>25</v>
      </c>
      <c r="C442" s="1">
        <v>339097</v>
      </c>
      <c r="D442" s="1">
        <f t="shared" si="15"/>
        <v>67819.399999999994</v>
      </c>
      <c r="E442" t="s">
        <v>6</v>
      </c>
      <c r="F442">
        <v>0</v>
      </c>
    </row>
    <row r="443" spans="1:6">
      <c r="A443">
        <v>2025</v>
      </c>
      <c r="B443">
        <v>26</v>
      </c>
      <c r="C443" s="1">
        <v>311732</v>
      </c>
      <c r="D443" s="1">
        <f t="shared" si="15"/>
        <v>62346.400000000001</v>
      </c>
      <c r="E443" t="s">
        <v>6</v>
      </c>
      <c r="F443">
        <v>0</v>
      </c>
    </row>
    <row r="444" spans="1:6">
      <c r="A444">
        <v>2025</v>
      </c>
      <c r="B444">
        <v>27</v>
      </c>
      <c r="C444" s="1">
        <v>198423</v>
      </c>
      <c r="D444" s="1">
        <f>C444/4</f>
        <v>49605.75</v>
      </c>
      <c r="E444" t="s">
        <v>6</v>
      </c>
      <c r="F444">
        <v>0</v>
      </c>
    </row>
    <row r="445" spans="1:6">
      <c r="A445">
        <v>2025</v>
      </c>
      <c r="B445">
        <v>28</v>
      </c>
      <c r="C445" s="1">
        <v>472802</v>
      </c>
      <c r="D445" s="1">
        <f t="shared" si="15"/>
        <v>94560.4</v>
      </c>
      <c r="E445" t="s">
        <v>6</v>
      </c>
      <c r="F445">
        <v>0</v>
      </c>
    </row>
    <row r="446" spans="1:6">
      <c r="A446">
        <v>2025</v>
      </c>
      <c r="B446">
        <v>29</v>
      </c>
      <c r="C446" s="1">
        <v>335623</v>
      </c>
      <c r="D446" s="1">
        <f t="shared" si="15"/>
        <v>67124.600000000006</v>
      </c>
      <c r="E446" t="s">
        <v>6</v>
      </c>
      <c r="F446">
        <v>0</v>
      </c>
    </row>
    <row r="447" spans="1:6">
      <c r="A447">
        <v>2025</v>
      </c>
      <c r="B447">
        <v>30</v>
      </c>
      <c r="C447" s="1">
        <v>212422</v>
      </c>
      <c r="D447" s="1">
        <f t="shared" si="15"/>
        <v>42484.4</v>
      </c>
      <c r="E447" t="s">
        <v>6</v>
      </c>
      <c r="F447">
        <v>0</v>
      </c>
    </row>
    <row r="448" spans="1:6">
      <c r="A448">
        <v>2025</v>
      </c>
      <c r="B448">
        <v>31</v>
      </c>
      <c r="C448" s="1">
        <v>198422</v>
      </c>
      <c r="D448" s="1">
        <f t="shared" si="15"/>
        <v>39684.400000000001</v>
      </c>
      <c r="E448" t="s">
        <v>6</v>
      </c>
      <c r="F448">
        <v>0</v>
      </c>
    </row>
    <row r="449" spans="1:10">
      <c r="A449">
        <v>2025</v>
      </c>
      <c r="B449">
        <v>32</v>
      </c>
      <c r="C449" s="1">
        <v>157588</v>
      </c>
      <c r="D449" s="1">
        <f>C449/4</f>
        <v>39397</v>
      </c>
      <c r="E449" t="s">
        <v>6</v>
      </c>
      <c r="F449">
        <v>0</v>
      </c>
    </row>
    <row r="450" spans="1:10">
      <c r="A450">
        <v>2025</v>
      </c>
      <c r="B450">
        <v>33</v>
      </c>
      <c r="C450" s="1">
        <v>197588</v>
      </c>
      <c r="D450" s="1">
        <f t="shared" si="15"/>
        <v>39517.599999999999</v>
      </c>
      <c r="E450" t="s">
        <v>6</v>
      </c>
      <c r="F450">
        <v>0</v>
      </c>
    </row>
    <row r="451" spans="1:10">
      <c r="A451">
        <v>2025</v>
      </c>
      <c r="B451">
        <v>34</v>
      </c>
      <c r="C451" s="1">
        <v>182372</v>
      </c>
      <c r="D451" s="1">
        <f t="shared" si="15"/>
        <v>36474.400000000001</v>
      </c>
      <c r="E451" t="s">
        <v>6</v>
      </c>
      <c r="F451">
        <v>0</v>
      </c>
    </row>
    <row r="452" spans="1:10">
      <c r="A452">
        <v>2025</v>
      </c>
      <c r="B452">
        <v>35</v>
      </c>
      <c r="C452" s="1">
        <v>178482</v>
      </c>
      <c r="D452" s="1">
        <f t="shared" si="15"/>
        <v>35696.400000000001</v>
      </c>
      <c r="E452" t="s">
        <v>6</v>
      </c>
      <c r="F452">
        <v>0</v>
      </c>
    </row>
    <row r="453" spans="1:10">
      <c r="A453">
        <v>2025</v>
      </c>
      <c r="B453">
        <v>36</v>
      </c>
      <c r="C453" s="1">
        <v>142387</v>
      </c>
      <c r="D453" s="1">
        <f>C453/4</f>
        <v>35596.75</v>
      </c>
      <c r="E453" t="s">
        <v>6</v>
      </c>
      <c r="F453">
        <v>0</v>
      </c>
    </row>
    <row r="454" spans="1:10">
      <c r="A454">
        <v>2025</v>
      </c>
      <c r="B454">
        <v>37</v>
      </c>
      <c r="C454" s="1">
        <v>181762</v>
      </c>
      <c r="D454" s="1">
        <f t="shared" si="15"/>
        <v>36352.400000000001</v>
      </c>
      <c r="E454" t="s">
        <v>6</v>
      </c>
      <c r="F454">
        <v>0</v>
      </c>
    </row>
    <row r="455" spans="1:10">
      <c r="A455">
        <v>2025</v>
      </c>
      <c r="B455">
        <v>38</v>
      </c>
      <c r="C455" s="1">
        <v>185220</v>
      </c>
      <c r="D455" s="1">
        <f t="shared" si="15"/>
        <v>37044</v>
      </c>
      <c r="E455" t="s">
        <v>6</v>
      </c>
      <c r="F455">
        <v>0</v>
      </c>
    </row>
    <row r="456" spans="1:10">
      <c r="A456">
        <v>2025</v>
      </c>
      <c r="B456">
        <v>39</v>
      </c>
      <c r="C456" s="1">
        <v>189040</v>
      </c>
      <c r="D456" s="1">
        <f t="shared" si="15"/>
        <v>37808</v>
      </c>
      <c r="E456" t="s">
        <v>6</v>
      </c>
      <c r="F456">
        <v>0</v>
      </c>
    </row>
    <row r="457" spans="1:10">
      <c r="A457">
        <v>2025</v>
      </c>
      <c r="B457">
        <v>40</v>
      </c>
      <c r="C457" s="1">
        <v>190678</v>
      </c>
      <c r="D457" s="1">
        <f>C457/4</f>
        <v>47669.5</v>
      </c>
      <c r="E457" t="s">
        <v>6</v>
      </c>
      <c r="F457">
        <v>0</v>
      </c>
    </row>
    <row r="458" spans="1:10">
      <c r="A458">
        <v>2025</v>
      </c>
      <c r="B458">
        <v>41</v>
      </c>
      <c r="C458" s="1">
        <v>267918</v>
      </c>
      <c r="D458" s="1">
        <f t="shared" si="15"/>
        <v>53583.6</v>
      </c>
      <c r="E458" t="s">
        <v>6</v>
      </c>
      <c r="F458">
        <v>0</v>
      </c>
      <c r="G458" t="s">
        <v>7</v>
      </c>
    </row>
    <row r="459" spans="1:10">
      <c r="A459">
        <v>2025</v>
      </c>
      <c r="B459">
        <v>42</v>
      </c>
      <c r="C459" s="1">
        <v>214716</v>
      </c>
      <c r="D459" s="1">
        <f>C459/4</f>
        <v>53679</v>
      </c>
      <c r="E459" t="s">
        <v>6</v>
      </c>
      <c r="F459">
        <v>0</v>
      </c>
    </row>
    <row r="460" spans="1:10">
      <c r="A460">
        <v>2025</v>
      </c>
      <c r="B460">
        <v>43</v>
      </c>
      <c r="C460" s="1">
        <v>249956</v>
      </c>
      <c r="D460" s="1">
        <f t="shared" si="15"/>
        <v>49991.199999999997</v>
      </c>
      <c r="E460" t="s">
        <v>6</v>
      </c>
      <c r="F460">
        <v>0</v>
      </c>
    </row>
    <row r="461" spans="1:10">
      <c r="A461">
        <v>2025</v>
      </c>
      <c r="B461">
        <v>44</v>
      </c>
      <c r="C461" s="1">
        <v>255705</v>
      </c>
      <c r="D461" s="1">
        <f t="shared" si="15"/>
        <v>51141</v>
      </c>
      <c r="E461" t="s">
        <v>6</v>
      </c>
      <c r="F461">
        <v>0</v>
      </c>
      <c r="I461" s="11"/>
    </row>
    <row r="462" spans="1:10">
      <c r="A462">
        <v>2025</v>
      </c>
      <c r="B462">
        <v>45</v>
      </c>
      <c r="C462" s="1">
        <v>199298.93447741517</v>
      </c>
      <c r="D462" s="1">
        <f t="shared" si="15"/>
        <v>39859.786895483034</v>
      </c>
      <c r="E462" t="s">
        <v>6</v>
      </c>
      <c r="F462">
        <v>0</v>
      </c>
      <c r="I462" s="2"/>
    </row>
    <row r="463" spans="1:10">
      <c r="A463">
        <v>2025</v>
      </c>
      <c r="B463">
        <v>46</v>
      </c>
      <c r="C463" s="1">
        <v>213909.5504429077</v>
      </c>
      <c r="D463" s="1">
        <f t="shared" si="15"/>
        <v>42781.910088581542</v>
      </c>
      <c r="E463" t="s">
        <v>6</v>
      </c>
      <c r="F463">
        <v>0</v>
      </c>
      <c r="I463" s="2"/>
    </row>
    <row r="464" spans="1:10">
      <c r="A464">
        <v>2025</v>
      </c>
      <c r="B464">
        <v>47</v>
      </c>
      <c r="C464" s="1">
        <v>270679</v>
      </c>
      <c r="D464" s="1">
        <f t="shared" si="15"/>
        <v>54135.8</v>
      </c>
      <c r="E464" t="s">
        <v>6</v>
      </c>
      <c r="F464">
        <v>0</v>
      </c>
      <c r="J464" t="s">
        <v>8</v>
      </c>
    </row>
    <row r="465" spans="1:6">
      <c r="A465">
        <v>2025</v>
      </c>
      <c r="B465">
        <v>48</v>
      </c>
      <c r="C465" s="1">
        <v>309508</v>
      </c>
      <c r="D465" s="1">
        <f t="shared" si="15"/>
        <v>61901.599999999999</v>
      </c>
      <c r="E465" t="s">
        <v>6</v>
      </c>
      <c r="F465">
        <v>0</v>
      </c>
    </row>
    <row r="466" spans="1:6">
      <c r="A466">
        <v>2025</v>
      </c>
      <c r="B466">
        <v>49</v>
      </c>
      <c r="C466" s="1">
        <v>329530</v>
      </c>
      <c r="D466" s="1">
        <f t="shared" si="15"/>
        <v>65906</v>
      </c>
      <c r="E466" t="s">
        <v>6</v>
      </c>
      <c r="F466">
        <v>0</v>
      </c>
    </row>
    <row r="467" spans="1:6">
      <c r="A467">
        <v>2025</v>
      </c>
      <c r="B467">
        <v>50</v>
      </c>
      <c r="C467" s="1">
        <v>356330</v>
      </c>
      <c r="D467" s="1">
        <f t="shared" si="15"/>
        <v>71266</v>
      </c>
      <c r="E467" t="s">
        <v>6</v>
      </c>
      <c r="F467">
        <v>0</v>
      </c>
    </row>
    <row r="468" spans="1:6">
      <c r="A468">
        <v>2025</v>
      </c>
      <c r="B468">
        <v>51</v>
      </c>
      <c r="C468" s="1">
        <v>236868</v>
      </c>
      <c r="D468" s="1">
        <f t="shared" si="15"/>
        <v>47373.599999999999</v>
      </c>
      <c r="E468" t="s">
        <v>6</v>
      </c>
      <c r="F468">
        <v>0</v>
      </c>
    </row>
    <row r="469" spans="1:6">
      <c r="A469">
        <v>2025</v>
      </c>
      <c r="B469">
        <v>52</v>
      </c>
      <c r="C469" s="1">
        <v>213777</v>
      </c>
      <c r="D469" s="1">
        <f>C469/6</f>
        <v>35629.5</v>
      </c>
      <c r="E469" t="s">
        <v>6</v>
      </c>
      <c r="F469">
        <v>0</v>
      </c>
    </row>
    <row r="470" spans="1:6">
      <c r="A470">
        <v>2026</v>
      </c>
      <c r="B470">
        <v>1</v>
      </c>
      <c r="C470" s="1">
        <v>234444</v>
      </c>
      <c r="D470" s="1">
        <f>C470/6</f>
        <v>39074</v>
      </c>
      <c r="E470" t="s">
        <v>6</v>
      </c>
      <c r="F470">
        <v>0</v>
      </c>
    </row>
    <row r="471" spans="1:6">
      <c r="A471">
        <v>2026</v>
      </c>
      <c r="B471">
        <v>2</v>
      </c>
      <c r="C471" s="1">
        <v>160009</v>
      </c>
      <c r="D471" s="1">
        <f t="shared" ref="D471:D521" si="16">C471/5</f>
        <v>32001.8</v>
      </c>
      <c r="E471" t="s">
        <v>6</v>
      </c>
      <c r="F471">
        <v>0</v>
      </c>
    </row>
    <row r="472" spans="1:6">
      <c r="A472">
        <v>2026</v>
      </c>
      <c r="B472">
        <v>3</v>
      </c>
      <c r="C472" s="1">
        <v>166362</v>
      </c>
      <c r="D472" s="1">
        <f t="shared" si="16"/>
        <v>33272.400000000001</v>
      </c>
      <c r="E472" t="s">
        <v>6</v>
      </c>
      <c r="F472">
        <v>0</v>
      </c>
    </row>
    <row r="473" spans="1:6">
      <c r="A473">
        <v>2026</v>
      </c>
      <c r="B473">
        <v>4</v>
      </c>
      <c r="C473" s="1">
        <v>160737</v>
      </c>
      <c r="D473" s="1">
        <f t="shared" si="16"/>
        <v>32147.4</v>
      </c>
      <c r="E473" t="s">
        <v>6</v>
      </c>
      <c r="F473">
        <v>0</v>
      </c>
    </row>
    <row r="474" spans="1:6">
      <c r="A474">
        <v>2026</v>
      </c>
      <c r="B474">
        <v>5</v>
      </c>
      <c r="C474" s="1">
        <v>159189</v>
      </c>
      <c r="D474" s="1">
        <f t="shared" si="16"/>
        <v>31837.8</v>
      </c>
      <c r="E474" t="s">
        <v>6</v>
      </c>
      <c r="F474">
        <v>0</v>
      </c>
    </row>
    <row r="475" spans="1:6">
      <c r="A475">
        <v>2026</v>
      </c>
      <c r="B475">
        <v>6</v>
      </c>
      <c r="C475" s="1">
        <v>173643</v>
      </c>
      <c r="D475" s="1">
        <f t="shared" si="16"/>
        <v>34728.6</v>
      </c>
      <c r="E475" t="s">
        <v>6</v>
      </c>
      <c r="F475">
        <v>0</v>
      </c>
    </row>
    <row r="476" spans="1:6">
      <c r="A476">
        <v>2026</v>
      </c>
      <c r="B476">
        <v>7</v>
      </c>
      <c r="C476" s="1">
        <v>168364</v>
      </c>
      <c r="D476" s="1">
        <f>C476/4</f>
        <v>42091</v>
      </c>
      <c r="E476" t="s">
        <v>6</v>
      </c>
      <c r="F476">
        <v>0</v>
      </c>
    </row>
    <row r="477" spans="1:6">
      <c r="A477">
        <v>2026</v>
      </c>
      <c r="B477">
        <v>8</v>
      </c>
      <c r="C477" s="1">
        <v>188082</v>
      </c>
      <c r="D477" s="1">
        <f t="shared" si="16"/>
        <v>37616.400000000001</v>
      </c>
      <c r="E477" t="s">
        <v>6</v>
      </c>
      <c r="F477">
        <v>0</v>
      </c>
    </row>
    <row r="478" spans="1:6">
      <c r="A478">
        <v>2026</v>
      </c>
      <c r="B478">
        <v>9</v>
      </c>
      <c r="C478" s="1">
        <v>181070</v>
      </c>
      <c r="D478" s="1">
        <f t="shared" si="16"/>
        <v>36214</v>
      </c>
      <c r="E478" t="s">
        <v>6</v>
      </c>
      <c r="F478">
        <v>0</v>
      </c>
    </row>
    <row r="479" spans="1:6">
      <c r="A479">
        <v>2026</v>
      </c>
      <c r="B479">
        <v>10</v>
      </c>
      <c r="C479" s="1">
        <v>202198</v>
      </c>
      <c r="D479" s="1">
        <f t="shared" si="16"/>
        <v>40439.599999999999</v>
      </c>
      <c r="E479" t="s">
        <v>6</v>
      </c>
      <c r="F479">
        <v>0</v>
      </c>
    </row>
    <row r="480" spans="1:6">
      <c r="A480">
        <v>2026</v>
      </c>
      <c r="B480">
        <v>11</v>
      </c>
      <c r="C480" s="1">
        <v>188833</v>
      </c>
      <c r="D480" s="1">
        <f t="shared" si="16"/>
        <v>37766.6</v>
      </c>
      <c r="E480" t="s">
        <v>6</v>
      </c>
      <c r="F480">
        <v>0</v>
      </c>
    </row>
    <row r="481" spans="1:6">
      <c r="A481">
        <v>2026</v>
      </c>
      <c r="B481">
        <v>12</v>
      </c>
      <c r="C481" s="1">
        <v>187228</v>
      </c>
      <c r="D481" s="1">
        <f t="shared" si="16"/>
        <v>37445.599999999999</v>
      </c>
      <c r="E481" t="s">
        <v>6</v>
      </c>
      <c r="F481">
        <v>0</v>
      </c>
    </row>
    <row r="482" spans="1:6">
      <c r="A482">
        <v>2026</v>
      </c>
      <c r="B482">
        <v>13</v>
      </c>
      <c r="C482" s="1">
        <v>157049</v>
      </c>
      <c r="D482" s="1">
        <f>C482/4</f>
        <v>39262.25</v>
      </c>
      <c r="E482" t="s">
        <v>6</v>
      </c>
      <c r="F482">
        <v>0</v>
      </c>
    </row>
    <row r="483" spans="1:6">
      <c r="A483">
        <v>2026</v>
      </c>
      <c r="B483">
        <v>14</v>
      </c>
      <c r="C483" s="1">
        <v>200438</v>
      </c>
      <c r="D483" s="1">
        <f t="shared" si="16"/>
        <v>40087.599999999999</v>
      </c>
      <c r="E483" t="s">
        <v>6</v>
      </c>
      <c r="F483">
        <v>0</v>
      </c>
    </row>
    <row r="484" spans="1:6">
      <c r="A484">
        <v>2026</v>
      </c>
      <c r="B484">
        <v>15</v>
      </c>
      <c r="C484" s="1">
        <v>170326</v>
      </c>
      <c r="D484" s="1">
        <f t="shared" si="16"/>
        <v>34065.199999999997</v>
      </c>
      <c r="E484" t="s">
        <v>6</v>
      </c>
      <c r="F484">
        <v>0</v>
      </c>
    </row>
    <row r="485" spans="1:6">
      <c r="A485">
        <v>2026</v>
      </c>
      <c r="B485">
        <v>16</v>
      </c>
      <c r="C485" s="1">
        <v>154948</v>
      </c>
      <c r="D485" s="1">
        <f t="shared" si="16"/>
        <v>30989.599999999999</v>
      </c>
      <c r="E485" t="s">
        <v>6</v>
      </c>
      <c r="F485">
        <v>0</v>
      </c>
    </row>
    <row r="486" spans="1:6">
      <c r="A486">
        <v>2026</v>
      </c>
      <c r="B486">
        <v>17</v>
      </c>
      <c r="C486" s="1">
        <v>149265</v>
      </c>
      <c r="D486" s="1">
        <f t="shared" si="16"/>
        <v>29853</v>
      </c>
      <c r="E486" t="s">
        <v>6</v>
      </c>
      <c r="F486">
        <v>0</v>
      </c>
    </row>
    <row r="487" spans="1:6">
      <c r="A487">
        <v>2026</v>
      </c>
      <c r="B487">
        <v>18</v>
      </c>
      <c r="C487" s="1">
        <v>144001</v>
      </c>
      <c r="D487" s="1">
        <f t="shared" si="16"/>
        <v>28800.2</v>
      </c>
      <c r="E487" t="s">
        <v>6</v>
      </c>
      <c r="F487">
        <v>0</v>
      </c>
    </row>
    <row r="488" spans="1:6">
      <c r="A488">
        <v>2026</v>
      </c>
      <c r="B488">
        <v>19</v>
      </c>
      <c r="C488" s="1">
        <v>133557</v>
      </c>
      <c r="D488" s="1">
        <f t="shared" si="16"/>
        <v>26711.4</v>
      </c>
      <c r="E488" t="s">
        <v>6</v>
      </c>
      <c r="F488">
        <v>0</v>
      </c>
    </row>
    <row r="489" spans="1:6">
      <c r="A489">
        <v>2026</v>
      </c>
      <c r="B489">
        <v>20</v>
      </c>
      <c r="C489" s="1">
        <v>109537</v>
      </c>
      <c r="D489" s="1">
        <f t="shared" si="16"/>
        <v>21907.4</v>
      </c>
      <c r="E489" t="s">
        <v>6</v>
      </c>
      <c r="F489">
        <v>0</v>
      </c>
    </row>
    <row r="490" spans="1:6">
      <c r="A490">
        <v>2026</v>
      </c>
      <c r="B490">
        <v>21</v>
      </c>
      <c r="C490" s="1">
        <v>137791</v>
      </c>
      <c r="D490" s="1">
        <f t="shared" si="16"/>
        <v>27558.2</v>
      </c>
      <c r="E490" t="s">
        <v>6</v>
      </c>
      <c r="F490">
        <v>0</v>
      </c>
    </row>
    <row r="491" spans="1:6">
      <c r="A491">
        <v>2026</v>
      </c>
      <c r="B491">
        <v>22</v>
      </c>
      <c r="C491" s="1">
        <v>115124</v>
      </c>
      <c r="D491" s="1">
        <f t="shared" si="16"/>
        <v>23024.799999999999</v>
      </c>
      <c r="E491" t="s">
        <v>6</v>
      </c>
      <c r="F491">
        <v>0</v>
      </c>
    </row>
    <row r="492" spans="1:6">
      <c r="A492">
        <v>2026</v>
      </c>
      <c r="B492">
        <v>23</v>
      </c>
      <c r="C492" s="1">
        <v>130000</v>
      </c>
      <c r="D492" s="1">
        <f t="shared" si="16"/>
        <v>26000</v>
      </c>
      <c r="E492" t="s">
        <v>9</v>
      </c>
      <c r="F492">
        <v>0</v>
      </c>
    </row>
    <row r="493" spans="1:6">
      <c r="A493">
        <v>2026</v>
      </c>
      <c r="B493">
        <v>24</v>
      </c>
      <c r="C493" s="1">
        <v>160000</v>
      </c>
      <c r="D493" s="1">
        <f t="shared" si="16"/>
        <v>32000</v>
      </c>
      <c r="E493" t="s">
        <v>9</v>
      </c>
      <c r="F493">
        <v>0</v>
      </c>
    </row>
    <row r="494" spans="1:6">
      <c r="A494">
        <v>2026</v>
      </c>
      <c r="B494">
        <v>25</v>
      </c>
      <c r="C494" s="1">
        <v>260000</v>
      </c>
      <c r="D494" s="1">
        <f t="shared" si="16"/>
        <v>52000</v>
      </c>
      <c r="E494" t="s">
        <v>9</v>
      </c>
      <c r="F494">
        <v>0</v>
      </c>
    </row>
    <row r="495" spans="1:6">
      <c r="A495">
        <v>2026</v>
      </c>
      <c r="B495">
        <v>26</v>
      </c>
      <c r="C495" s="1">
        <v>275000</v>
      </c>
      <c r="D495" s="1">
        <f t="shared" si="16"/>
        <v>55000</v>
      </c>
      <c r="E495" t="s">
        <v>9</v>
      </c>
      <c r="F495">
        <v>0</v>
      </c>
    </row>
    <row r="496" spans="1:6">
      <c r="A496">
        <v>2026</v>
      </c>
      <c r="B496">
        <v>27</v>
      </c>
      <c r="C496" s="1">
        <v>205000</v>
      </c>
      <c r="D496" s="1">
        <f t="shared" si="16"/>
        <v>41000</v>
      </c>
      <c r="E496" t="s">
        <v>9</v>
      </c>
      <c r="F496">
        <v>0</v>
      </c>
    </row>
    <row r="497" spans="1:6">
      <c r="A497">
        <v>2026</v>
      </c>
      <c r="B497">
        <v>28</v>
      </c>
      <c r="C497" s="1">
        <v>205000</v>
      </c>
      <c r="D497" s="1">
        <f t="shared" si="16"/>
        <v>41000</v>
      </c>
      <c r="E497" t="s">
        <v>9</v>
      </c>
      <c r="F497">
        <v>0</v>
      </c>
    </row>
    <row r="498" spans="1:6">
      <c r="A498">
        <v>2026</v>
      </c>
      <c r="B498">
        <v>29</v>
      </c>
      <c r="C498" s="1">
        <v>205000</v>
      </c>
      <c r="D498" s="1">
        <f t="shared" si="16"/>
        <v>41000</v>
      </c>
      <c r="E498" t="s">
        <v>9</v>
      </c>
      <c r="F498">
        <v>0</v>
      </c>
    </row>
    <row r="499" spans="1:6">
      <c r="A499">
        <v>2026</v>
      </c>
      <c r="B499">
        <v>30</v>
      </c>
      <c r="C499" s="1">
        <v>205000</v>
      </c>
      <c r="D499" s="1">
        <f t="shared" si="16"/>
        <v>41000</v>
      </c>
      <c r="E499" t="s">
        <v>9</v>
      </c>
      <c r="F499">
        <v>0</v>
      </c>
    </row>
    <row r="500" spans="1:6">
      <c r="A500">
        <v>2026</v>
      </c>
      <c r="B500">
        <v>31</v>
      </c>
      <c r="C500" s="1">
        <v>205000</v>
      </c>
      <c r="D500" s="1">
        <f t="shared" si="16"/>
        <v>41000</v>
      </c>
      <c r="E500" t="s">
        <v>9</v>
      </c>
      <c r="F500">
        <v>0</v>
      </c>
    </row>
    <row r="501" spans="1:6">
      <c r="A501">
        <v>2026</v>
      </c>
      <c r="B501">
        <v>32</v>
      </c>
      <c r="C501" s="1">
        <v>205000</v>
      </c>
      <c r="D501" s="1">
        <f t="shared" si="16"/>
        <v>41000</v>
      </c>
      <c r="E501" t="s">
        <v>9</v>
      </c>
      <c r="F501">
        <v>0</v>
      </c>
    </row>
    <row r="502" spans="1:6">
      <c r="A502">
        <v>2026</v>
      </c>
      <c r="B502">
        <v>33</v>
      </c>
      <c r="C502" s="1">
        <v>205000</v>
      </c>
      <c r="D502" s="1">
        <f t="shared" si="16"/>
        <v>41000</v>
      </c>
      <c r="E502" t="s">
        <v>9</v>
      </c>
      <c r="F502">
        <v>0</v>
      </c>
    </row>
    <row r="503" spans="1:6">
      <c r="A503">
        <v>2026</v>
      </c>
      <c r="B503">
        <v>34</v>
      </c>
      <c r="C503" s="1">
        <v>205000</v>
      </c>
      <c r="D503" s="1">
        <f t="shared" si="16"/>
        <v>41000</v>
      </c>
      <c r="E503" t="s">
        <v>9</v>
      </c>
      <c r="F503">
        <v>0</v>
      </c>
    </row>
    <row r="504" spans="1:6">
      <c r="A504">
        <v>2026</v>
      </c>
      <c r="B504">
        <v>35</v>
      </c>
      <c r="C504" s="1">
        <v>205000</v>
      </c>
      <c r="D504" s="1">
        <f t="shared" si="16"/>
        <v>41000</v>
      </c>
      <c r="E504" t="s">
        <v>9</v>
      </c>
      <c r="F504">
        <v>0</v>
      </c>
    </row>
    <row r="505" spans="1:6">
      <c r="A505">
        <v>2026</v>
      </c>
      <c r="B505">
        <v>36</v>
      </c>
      <c r="C505" s="1">
        <v>205000</v>
      </c>
      <c r="D505" s="1">
        <f t="shared" si="16"/>
        <v>41000</v>
      </c>
      <c r="E505" t="s">
        <v>9</v>
      </c>
      <c r="F505">
        <v>0</v>
      </c>
    </row>
    <row r="506" spans="1:6">
      <c r="A506">
        <v>2026</v>
      </c>
      <c r="B506">
        <v>37</v>
      </c>
      <c r="C506" s="1">
        <v>205000</v>
      </c>
      <c r="D506" s="1">
        <f t="shared" si="16"/>
        <v>41000</v>
      </c>
      <c r="E506" t="s">
        <v>9</v>
      </c>
      <c r="F506">
        <v>0</v>
      </c>
    </row>
    <row r="507" spans="1:6">
      <c r="A507">
        <v>2026</v>
      </c>
      <c r="B507">
        <v>38</v>
      </c>
      <c r="C507" s="1">
        <v>205000</v>
      </c>
      <c r="D507" s="1">
        <f t="shared" si="16"/>
        <v>41000</v>
      </c>
      <c r="E507" t="s">
        <v>9</v>
      </c>
      <c r="F507">
        <v>0</v>
      </c>
    </row>
    <row r="508" spans="1:6">
      <c r="A508">
        <v>2026</v>
      </c>
      <c r="B508">
        <v>39</v>
      </c>
      <c r="C508" s="1">
        <v>205000</v>
      </c>
      <c r="D508" s="1">
        <f t="shared" si="16"/>
        <v>41000</v>
      </c>
      <c r="E508" t="s">
        <v>9</v>
      </c>
      <c r="F508">
        <v>0</v>
      </c>
    </row>
    <row r="509" spans="1:6">
      <c r="A509">
        <v>2026</v>
      </c>
      <c r="B509">
        <v>40</v>
      </c>
      <c r="C509" s="1">
        <v>205000</v>
      </c>
      <c r="D509" s="1">
        <f t="shared" si="16"/>
        <v>41000</v>
      </c>
      <c r="E509" t="s">
        <v>9</v>
      </c>
      <c r="F509">
        <v>0</v>
      </c>
    </row>
    <row r="510" spans="1:6">
      <c r="A510">
        <v>2026</v>
      </c>
      <c r="B510">
        <v>41</v>
      </c>
      <c r="C510" s="1">
        <v>205000</v>
      </c>
      <c r="D510" s="1">
        <f t="shared" si="16"/>
        <v>41000</v>
      </c>
      <c r="E510" t="s">
        <v>9</v>
      </c>
      <c r="F510">
        <v>0</v>
      </c>
    </row>
    <row r="511" spans="1:6">
      <c r="A511">
        <v>2026</v>
      </c>
      <c r="B511">
        <v>42</v>
      </c>
      <c r="C511" s="1">
        <v>205000</v>
      </c>
      <c r="D511" s="1">
        <f t="shared" si="16"/>
        <v>41000</v>
      </c>
      <c r="E511" t="s">
        <v>9</v>
      </c>
      <c r="F511">
        <v>0</v>
      </c>
    </row>
    <row r="512" spans="1:6">
      <c r="A512">
        <v>2026</v>
      </c>
      <c r="B512">
        <v>43</v>
      </c>
      <c r="C512" s="1">
        <v>205000</v>
      </c>
      <c r="D512" s="1">
        <f t="shared" si="16"/>
        <v>41000</v>
      </c>
      <c r="E512" t="s">
        <v>9</v>
      </c>
      <c r="F512">
        <v>0</v>
      </c>
    </row>
    <row r="513" spans="1:6">
      <c r="A513">
        <v>2026</v>
      </c>
      <c r="B513">
        <v>44</v>
      </c>
      <c r="C513" s="1">
        <v>205000</v>
      </c>
      <c r="D513" s="1">
        <f t="shared" si="16"/>
        <v>41000</v>
      </c>
      <c r="E513" t="s">
        <v>9</v>
      </c>
      <c r="F513">
        <v>0</v>
      </c>
    </row>
    <row r="514" spans="1:6">
      <c r="A514">
        <v>2026</v>
      </c>
      <c r="B514">
        <v>45</v>
      </c>
      <c r="C514" s="1">
        <v>205000</v>
      </c>
      <c r="D514" s="1">
        <f t="shared" si="16"/>
        <v>41000</v>
      </c>
      <c r="E514" t="s">
        <v>9</v>
      </c>
      <c r="F514">
        <v>0</v>
      </c>
    </row>
    <row r="515" spans="1:6">
      <c r="A515">
        <v>2026</v>
      </c>
      <c r="B515">
        <v>46</v>
      </c>
      <c r="C515" s="1">
        <v>205000</v>
      </c>
      <c r="D515" s="1">
        <f t="shared" si="16"/>
        <v>41000</v>
      </c>
      <c r="E515" t="s">
        <v>9</v>
      </c>
      <c r="F515">
        <v>0</v>
      </c>
    </row>
    <row r="516" spans="1:6">
      <c r="A516">
        <v>2026</v>
      </c>
      <c r="B516">
        <v>47</v>
      </c>
      <c r="C516" s="1">
        <v>205000</v>
      </c>
      <c r="D516" s="1">
        <f t="shared" si="16"/>
        <v>41000</v>
      </c>
      <c r="E516" t="s">
        <v>9</v>
      </c>
      <c r="F516">
        <v>0</v>
      </c>
    </row>
    <row r="517" spans="1:6">
      <c r="A517">
        <v>2026</v>
      </c>
      <c r="B517">
        <v>48</v>
      </c>
      <c r="C517" s="1">
        <v>400000</v>
      </c>
      <c r="D517" s="1">
        <f t="shared" si="16"/>
        <v>80000</v>
      </c>
      <c r="E517" t="s">
        <v>9</v>
      </c>
      <c r="F517">
        <v>0</v>
      </c>
    </row>
    <row r="518" spans="1:6">
      <c r="A518">
        <v>2026</v>
      </c>
      <c r="B518">
        <v>49</v>
      </c>
      <c r="C518" s="1">
        <v>400000</v>
      </c>
      <c r="D518" s="1">
        <f t="shared" si="16"/>
        <v>80000</v>
      </c>
      <c r="E518" t="s">
        <v>9</v>
      </c>
      <c r="F518">
        <v>0</v>
      </c>
    </row>
    <row r="519" spans="1:6">
      <c r="A519">
        <v>2026</v>
      </c>
      <c r="B519">
        <v>50</v>
      </c>
      <c r="C519" s="1">
        <v>205000</v>
      </c>
      <c r="D519" s="1">
        <f t="shared" si="16"/>
        <v>41000</v>
      </c>
      <c r="E519" t="s">
        <v>9</v>
      </c>
      <c r="F519">
        <v>0</v>
      </c>
    </row>
    <row r="520" spans="1:6">
      <c r="A520">
        <v>2026</v>
      </c>
      <c r="B520">
        <v>51</v>
      </c>
      <c r="C520" s="1">
        <v>205000</v>
      </c>
      <c r="D520" s="1">
        <f t="shared" si="16"/>
        <v>41000</v>
      </c>
      <c r="E520" t="s">
        <v>9</v>
      </c>
      <c r="F520">
        <v>0</v>
      </c>
    </row>
    <row r="521" spans="1:6">
      <c r="A521">
        <v>2026</v>
      </c>
      <c r="B521">
        <v>52</v>
      </c>
      <c r="C521" s="1">
        <v>205000</v>
      </c>
      <c r="D521" s="1">
        <f t="shared" si="16"/>
        <v>41000</v>
      </c>
      <c r="E521" t="s">
        <v>9</v>
      </c>
      <c r="F521">
        <v>0</v>
      </c>
    </row>
  </sheetData>
  <pageMargins left="0.7" right="0.7" top="0.75" bottom="0.75" header="0.3" footer="0.3"/>
  <pageSetup orientation="portrait" horizontalDpi="90" verticalDpi="90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pplication xmlns="http://www.sap.com/cof/excel/application">
  <Version>2</Version>
  <Revision>2.8.201.93748</Revision>
</Application>
</file>

<file path=customXml/itemProps1.xml><?xml version="1.0" encoding="utf-8"?>
<ds:datastoreItem xmlns:ds="http://schemas.openxmlformats.org/officeDocument/2006/customXml" ds:itemID="{88D83A18-E8CC-4E33-9355-5C0C803093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Innovapost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Ivanovic, Nikola</dc:creator>
  <cp:keywords/>
  <dc:description/>
  <cp:lastModifiedBy/>
  <cp:revision/>
  <dcterms:created xsi:type="dcterms:W3CDTF">2021-04-12T14:30:13Z</dcterms:created>
  <dcterms:modified xsi:type="dcterms:W3CDTF">2026-06-15T02:10:44Z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a61ecc07-58b8-407b-9189-0b9554a81edf</vt:lpwstr>
  </property>
  <property fmtid="{D5CDD505-2E9C-101B-9397-08002B2CF9AE}" pid="3" name="ConnectionInfosStorage">
    <vt:lpwstr>WorkbookXmlParts</vt:lpwstr>
  </property>
  <property fmtid="{D5CDD505-2E9C-101B-9397-08002B2CF9AE}" pid="4" name="CustomUiType">
    <vt:lpwstr>2</vt:lpwstr>
  </property>
</Properties>
</file>